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a716b91040829a8c/Documents/Excel Datasets/FNP Analysis Project/"/>
    </mc:Choice>
  </mc:AlternateContent>
  <xr:revisionPtr revIDLastSave="620" documentId="8_{31EF6C6F-05E4-4617-93A7-B2C8831AC1F9}" xr6:coauthVersionLast="47" xr6:coauthVersionMax="47" xr10:uidLastSave="{DDD546AC-F306-48B2-9B5B-AC3E9DBFD856}"/>
  <bookViews>
    <workbookView xWindow="-108" yWindow="-108" windowWidth="23256" windowHeight="12456" firstSheet="1" activeTab="5" xr2:uid="{442D3246-A668-42FF-BE0D-98BA3B3B691D}"/>
  </bookViews>
  <sheets>
    <sheet name="FNP Datasets" sheetId="2" state="hidden" r:id="rId1"/>
    <sheet name="Customer" sheetId="3" r:id="rId2"/>
    <sheet name="Orders" sheetId="4" r:id="rId3"/>
    <sheet name="Products" sheetId="5" r:id="rId4"/>
    <sheet name="Pivot Table" sheetId="1" r:id="rId5"/>
    <sheet name="Dashboard" sheetId="6" r:id="rId6"/>
  </sheets>
  <definedNames>
    <definedName name="ExternalData_1" localSheetId="0" hidden="1">'FNP Datasets'!$A$1:$F$4</definedName>
    <definedName name="ExternalData_2" localSheetId="1" hidden="1">'Customer'!$A$1:$G$101</definedName>
    <definedName name="ExternalData_3" localSheetId="2" hidden="1">Orders!$A$1:$Q$1001</definedName>
    <definedName name="ExternalData_4" localSheetId="3" hidden="1">Products!$A$1:$F$71</definedName>
    <definedName name="Slicer_Category">#N/A</definedName>
    <definedName name="Slicer_Occasion">#N/A</definedName>
    <definedName name="Timeline_Order_Date">#N/A</definedName>
  </definedNames>
  <calcPr calcId="191029"/>
  <pivotCaches>
    <pivotCache cacheId="0" r:id="rId7"/>
    <pivotCache cacheId="228" r:id="rId8"/>
    <pivotCache cacheId="279" r:id="rId9"/>
    <pivotCache cacheId="282" r:id="rId10"/>
    <pivotCache cacheId="285" r:id="rId11"/>
    <pivotCache cacheId="288" r:id="rId12"/>
    <pivotCache cacheId="291" r:id="rId13"/>
    <pivotCache cacheId="294" r:id="rId14"/>
    <pivotCache cacheId="297" r:id="rId15"/>
    <pivotCache cacheId="300" r:id="rId16"/>
    <pivotCache cacheId="303"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39f6366c-98ec-4b11-8cef-646a5486010d" name="FNP Datasets" connection="Query - FNP Datasets"/>
          <x15:modelTable id="Customer_7008273e-2a18-43f2-8b34-d64b060d8eb8" name="Customer" connection="Query - Customer"/>
          <x15:modelTable id="Orders_ceb7b481-db1b-4389-ad29-47931f537eff" name="Orders" connection="Query - Orders"/>
          <x15:modelTable id="Products_faf3a924-24d0-4a56-a068-0d29ee9132fb" name="Products" connection="Query - Products"/>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7B1A44-AEE8-4EF5-808D-FDC081C0D1A1}"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E66B9DE8-9E6E-4061-AFA7-B9A1F9DB21FA}"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EF178F89-39D3-4B36-8D6E-0DCFAF648EDF}"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9C15D045-6978-4D09-80F2-720142DCBCD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1D79C365-C01B-4DC5-B093-FB21D40D466E}" name="Query - Customer" description="Connection to the 'Customer' query in the workbook." type="100" refreshedVersion="8" minRefreshableVersion="5">
    <extLst>
      <ext xmlns:x15="http://schemas.microsoft.com/office/spreadsheetml/2010/11/main" uri="{DE250136-89BD-433C-8126-D09CA5730AF9}">
        <x15:connection id="0e2a9e22-21c1-4493-a217-2ed919a59384"/>
      </ext>
    </extLst>
  </connection>
  <connection id="6" xr16:uid="{59635C63-2BA3-4D61-9648-8C1BCEFF43B8}" name="Query - FNP Datasets" description="Connection to the 'FNP Datasets' query in the workbook." type="100" refreshedVersion="8" minRefreshableVersion="5">
    <extLst>
      <ext xmlns:x15="http://schemas.microsoft.com/office/spreadsheetml/2010/11/main" uri="{DE250136-89BD-433C-8126-D09CA5730AF9}">
        <x15:connection id="1ea357da-eeb1-4cbc-9502-69ab9fb2c2c1"/>
      </ext>
    </extLst>
  </connection>
  <connection id="7" xr16:uid="{2AEF5998-9771-4B72-8F55-1E718A3BB11C}" name="Query - Orders" description="Connection to the 'Orders' query in the workbook." type="100" refreshedVersion="8" minRefreshableVersion="5">
    <extLst>
      <ext xmlns:x15="http://schemas.microsoft.com/office/spreadsheetml/2010/11/main" uri="{DE250136-89BD-433C-8126-D09CA5730AF9}">
        <x15:connection id="2f336822-8bb6-4017-92c8-5d0f6bb6856f"/>
      </ext>
    </extLst>
  </connection>
  <connection id="8" xr16:uid="{406D8E32-65D9-4934-BC89-02B2A06EA262}" name="Query - Products" description="Connection to the 'Products' query in the workbook." type="100" refreshedVersion="8" minRefreshableVersion="5">
    <extLst>
      <ext xmlns:x15="http://schemas.microsoft.com/office/spreadsheetml/2010/11/main" uri="{DE250136-89BD-433C-8126-D09CA5730AF9}">
        <x15:connection id="dfef6087-bb80-4c3f-bd97-f5a5ec35ce21"/>
      </ext>
    </extLst>
  </connection>
  <connection id="9" xr16:uid="{27DABC37-27AE-4509-8BA8-1E4ABEA15FB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<sst xmlns="http://schemas.openxmlformats.org/spreadsheetml/2006/main" count="6092" uniqueCount="1023">
  <si>
    <t>Name</t>
  </si>
  <si>
    <t>Extension</t>
  </si>
  <si>
    <t>Date accessed</t>
  </si>
  <si>
    <t>Date modified</t>
  </si>
  <si>
    <t>Date created</t>
  </si>
  <si>
    <t>Folder Path</t>
  </si>
  <si>
    <t>customers.csv</t>
  </si>
  <si>
    <t>.csv</t>
  </si>
  <si>
    <t>C:\Users\gagan\OneDrive\Documents\Excel Datasets\FNP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</si>
  <si>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</si>
  <si>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</si>
  <si>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</si>
  <si>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</si>
  <si>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</si>
  <si>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</si>
  <si>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</si>
  <si>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</si>
  <si>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</si>
  <si>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</si>
  <si>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</si>
  <si>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</si>
  <si>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</si>
  <si>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</si>
  <si>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</si>
  <si>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</si>
  <si>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</si>
  <si>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</si>
  <si>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</si>
  <si>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</si>
  <si>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</si>
  <si>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</si>
  <si>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</si>
  <si>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</si>
  <si>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</si>
  <si>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</si>
  <si>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</si>
  <si>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</si>
  <si>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</si>
  <si>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</si>
  <si>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</si>
  <si>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</si>
  <si>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</si>
  <si>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</si>
  <si>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</si>
  <si>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</si>
  <si>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</si>
  <si>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</si>
  <si>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</si>
  <si>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</si>
  <si>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</si>
  <si>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</si>
  <si>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</si>
  <si>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</si>
  <si>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</si>
  <si>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</si>
  <si>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</si>
  <si>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</si>
  <si>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</si>
  <si>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</si>
  <si>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</si>
  <si>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</si>
  <si>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</si>
  <si>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</si>
  <si>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</si>
  <si>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</si>
  <si>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</si>
  <si>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</si>
  <si>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</si>
  <si>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</si>
  <si>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</si>
  <si>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</si>
  <si>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</si>
  <si>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</si>
  <si>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</si>
  <si>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</si>
  <si>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</si>
  <si>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</si>
  <si>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</si>
  <si>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</si>
  <si>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</si>
  <si>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</si>
  <si>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</si>
  <si>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</si>
  <si>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</si>
  <si>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</si>
  <si>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</si>
  <si>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</si>
  <si>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</si>
  <si>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</si>
  <si>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</si>
  <si>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</si>
  <si>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</si>
  <si>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</si>
  <si>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</si>
  <si>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</si>
  <si>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</si>
  <si>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</si>
  <si>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</si>
  <si>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</si>
  <si>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</si>
  <si>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</si>
  <si>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</si>
  <si>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</si>
  <si>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</si>
  <si>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</si>
  <si>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</si>
  <si>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</si>
  <si>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</si>
  <si>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</si>
  <si>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</si>
  <si>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</si>
  <si>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</si>
  <si>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</si>
  <si>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</si>
  <si>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</si>
  <si>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</si>
  <si>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</si>
  <si>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</si>
  <si>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</si>
  <si>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</si>
  <si>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</si>
  <si>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</si>
  <si>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</si>
  <si>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</si>
  <si>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</si>
  <si>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</si>
  <si>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</si>
  <si>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</si>
  <si>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</si>
  <si>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</si>
  <si>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</si>
  <si>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</si>
  <si>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</si>
  <si>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</si>
  <si>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</si>
  <si>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</si>
  <si>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</si>
  <si>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</si>
  <si>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</si>
  <si>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</si>
  <si>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</si>
  <si>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</si>
  <si>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</si>
  <si>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</si>
  <si>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</si>
  <si>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</si>
  <si>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</si>
  <si>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</si>
  <si>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</si>
  <si>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</si>
  <si>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</si>
  <si>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</si>
  <si>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</si>
  <si>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</si>
  <si>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</si>
  <si>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</si>
  <si>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</si>
  <si>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</si>
  <si>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</si>
  <si>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</si>
  <si>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</si>
  <si>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</si>
  <si>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</si>
  <si>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</si>
  <si>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</si>
  <si>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</si>
  <si>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</si>
  <si>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</si>
  <si>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</si>
  <si>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</si>
  <si>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</si>
  <si>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</si>
  <si>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</si>
  <si>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</si>
  <si>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</si>
  <si>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</si>
  <si>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</si>
  <si>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</si>
  <si>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</si>
  <si>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</si>
  <si>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</si>
  <si>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</si>
  <si>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</si>
  <si>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</si>
  <si>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</si>
  <si>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</si>
  <si>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</si>
  <si>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</si>
  <si>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</si>
  <si>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</si>
  <si>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</si>
  <si>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</si>
  <si>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</si>
  <si>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</si>
  <si>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</si>
  <si>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</si>
  <si>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</si>
  <si>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</si>
  <si>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</si>
  <si>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</si>
  <si>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</si>
  <si>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</si>
  <si>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</si>
  <si>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</si>
  <si>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</si>
  <si>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</si>
  <si>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</si>
  <si>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</si>
  <si>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</si>
  <si>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</si>
  <si>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</si>
  <si>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</si>
  <si>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</si>
  <si>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</si>
  <si>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</si>
  <si>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</si>
  <si>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</si>
  <si>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</si>
  <si>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</si>
  <si>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</si>
  <si>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</si>
  <si>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</si>
  <si>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</si>
  <si>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</si>
  <si>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</si>
  <si>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</si>
  <si>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</si>
  <si>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</si>
  <si>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</si>
  <si>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</si>
  <si>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</si>
  <si>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</si>
  <si>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</si>
  <si>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</si>
  <si>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</si>
  <si>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</si>
  <si>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</si>
  <si>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</si>
  <si>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</si>
  <si>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</si>
  <si>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</si>
  <si>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</si>
  <si>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</si>
  <si>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</si>
  <si>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</si>
  <si>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</si>
  <si>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</si>
  <si>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</si>
  <si>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</si>
  <si>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</si>
  <si>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</si>
  <si>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</si>
  <si>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</si>
  <si>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</si>
  <si>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</si>
  <si>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</si>
  <si>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</si>
  <si>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</si>
  <si>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</si>
  <si>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</si>
  <si>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</si>
  <si>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</si>
  <si>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</si>
  <si>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</si>
  <si>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</si>
  <si>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</si>
  <si>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</si>
  <si>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</si>
  <si>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</si>
  <si>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</si>
  <si>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</si>
  <si>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</si>
  <si>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</si>
  <si>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</si>
  <si>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</si>
  <si>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</si>
  <si>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</si>
  <si>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</si>
  <si>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</si>
  <si>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</si>
  <si>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</si>
  <si>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</si>
  <si>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</si>
  <si>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</si>
  <si>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</si>
  <si>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</si>
  <si>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</si>
  <si>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</si>
  <si>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</si>
  <si>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</si>
  <si>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</si>
  <si>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</si>
  <si>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</si>
  <si>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</si>
  <si>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</si>
  <si>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</si>
  <si>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</si>
  <si>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</si>
  <si>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</si>
  <si>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</si>
  <si>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</si>
  <si>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</si>
  <si>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</si>
  <si>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</si>
  <si>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</si>
  <si>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</si>
  <si>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</si>
  <si>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</si>
  <si>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</si>
  <si>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</si>
  <si>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</si>
  <si>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</si>
  <si>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</si>
  <si>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</si>
  <si>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</si>
  <si>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</si>
  <si>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</si>
  <si>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</si>
  <si>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</si>
  <si>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</si>
  <si>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</si>
  <si>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</si>
  <si>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</si>
  <si>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</si>
  <si>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</si>
  <si>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</si>
  <si>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</si>
  <si>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</si>
  <si>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</si>
  <si>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</si>
  <si>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</si>
  <si>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</si>
  <si>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</si>
  <si>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</si>
  <si>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</si>
  <si>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</si>
  <si>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</si>
  <si>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</si>
  <si>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</si>
  <si>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</si>
  <si>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</si>
  <si>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</si>
  <si>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</si>
  <si>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</si>
  <si>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</si>
  <si>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</si>
  <si>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</si>
  <si>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</si>
  <si>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</si>
  <si>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</si>
  <si>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</si>
  <si>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</si>
  <si>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</si>
  <si>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</si>
  <si>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</si>
  <si>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</si>
  <si>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</si>
  <si>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</si>
  <si>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</si>
  <si>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</si>
  <si>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</si>
  <si>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</si>
  <si>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</si>
  <si>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</si>
  <si>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</si>
  <si>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</si>
  <si>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</si>
  <si>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</si>
  <si>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</si>
  <si>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</si>
  <si>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</si>
  <si>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</si>
  <si>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</si>
  <si>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</si>
  <si>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</si>
  <si>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</si>
  <si>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</si>
  <si>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</si>
  <si>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</si>
  <si>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</si>
  <si>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</si>
  <si>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</si>
  <si>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</si>
  <si>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</si>
  <si>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</si>
  <si>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</si>
  <si>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</si>
  <si>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</si>
  <si>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</si>
  <si>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</si>
  <si>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</si>
  <si>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</si>
  <si>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</si>
  <si>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</si>
  <si>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</si>
  <si>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</si>
  <si>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</si>
  <si>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</si>
  <si>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</si>
  <si>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</si>
  <si>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</si>
  <si>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</si>
  <si>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</si>
  <si>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</si>
  <si>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</si>
  <si>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</si>
  <si>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</si>
  <si>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</si>
  <si>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</si>
  <si>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</si>
  <si>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</si>
  <si>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</si>
  <si>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</si>
  <si>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</si>
  <si>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</si>
  <si>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</si>
  <si>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</si>
  <si>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</si>
  <si>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</si>
  <si>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</si>
  <si>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</si>
  <si>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</si>
  <si>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</si>
  <si>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</si>
  <si>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</si>
  <si>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</si>
  <si>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</si>
  <si>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</si>
  <si>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</si>
  <si>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</si>
  <si>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</si>
  <si>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</si>
  <si>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</si>
  <si>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</si>
  <si>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</si>
  <si>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</si>
  <si>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</si>
  <si>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</si>
  <si>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</si>
  <si>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</si>
  <si>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</si>
  <si>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</si>
  <si>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</si>
  <si>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</si>
  <si>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</si>
  <si>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</si>
  <si>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</si>
  <si>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</si>
  <si>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</si>
  <si>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</si>
  <si>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</si>
  <si>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</si>
  <si>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</si>
  <si>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</si>
  <si>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</si>
  <si>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</si>
  <si>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</si>
  <si>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</si>
  <si>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</si>
  <si>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</si>
  <si>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</si>
  <si>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</si>
  <si>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</si>
  <si>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</si>
  <si>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</si>
  <si>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</si>
  <si>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</si>
  <si>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</si>
  <si>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</si>
  <si>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</si>
  <si>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</si>
  <si>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</si>
  <si>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</si>
  <si>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</si>
  <si>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</si>
  <si>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</si>
  <si>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</si>
  <si>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</si>
  <si>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</si>
  <si>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</si>
  <si>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</si>
  <si>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</si>
  <si>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</si>
  <si>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</si>
  <si>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</si>
  <si>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</si>
  <si>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</si>
  <si>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</si>
  <si>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</si>
  <si>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</si>
  <si>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</si>
  <si>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</si>
  <si>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</si>
  <si>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</si>
  <si>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</si>
  <si>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</si>
  <si>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</si>
  <si>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</si>
  <si>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</si>
  <si>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</si>
  <si>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</si>
  <si>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</si>
  <si>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</si>
  <si>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</si>
  <si>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</si>
  <si>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</si>
  <si>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</si>
  <si>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</si>
  <si>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</si>
  <si>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</si>
  <si>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</si>
  <si>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</si>
  <si>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</si>
  <si>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</si>
  <si>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</si>
  <si>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</si>
  <si>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</si>
  <si>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</si>
  <si>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</si>
  <si>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</si>
  <si>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</si>
  <si>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</si>
  <si>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</si>
  <si>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</si>
  <si>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</si>
  <si>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</si>
  <si>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</si>
  <si>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</si>
  <si>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</si>
  <si>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</si>
  <si>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</si>
  <si>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</si>
  <si>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</si>
  <si>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</si>
  <si>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</si>
  <si>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</si>
  <si>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</si>
  <si>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</si>
  <si>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</si>
  <si>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</si>
  <si>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</si>
  <si>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</si>
  <si>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</si>
  <si>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</si>
  <si>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</si>
  <si>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</si>
  <si>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</si>
  <si>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</si>
  <si>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</si>
  <si>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</si>
  <si>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</si>
  <si>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</si>
  <si>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</si>
  <si>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</si>
  <si>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</si>
  <si>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</si>
  <si>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</si>
  <si>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</si>
  <si>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</si>
  <si>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</si>
  <si>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</si>
  <si>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</si>
  <si>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</si>
  <si>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</si>
  <si>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</si>
  <si>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</si>
  <si>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</si>
  <si>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</si>
  <si>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</si>
  <si>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</si>
  <si>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</si>
  <si>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</si>
  <si>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</si>
  <si>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</si>
  <si>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</si>
  <si>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</si>
  <si>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</si>
  <si>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</si>
  <si>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</si>
  <si>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</si>
  <si>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</si>
  <si>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</si>
  <si>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</si>
  <si>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</si>
  <si>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</si>
  <si>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</si>
  <si>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</si>
  <si>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</si>
  <si>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</si>
  <si>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</si>
  <si>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</si>
  <si>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</si>
  <si>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</si>
  <si>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</si>
  <si>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</si>
  <si>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</si>
  <si>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</si>
  <si>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</si>
  <si>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</si>
  <si>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</si>
  <si>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</si>
  <si>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</si>
  <si>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</si>
  <si>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</si>
  <si>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</si>
  <si>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</si>
  <si>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</si>
  <si>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</si>
  <si>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</si>
  <si>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</si>
  <si>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</si>
  <si>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</si>
  <si>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</si>
  <si>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</si>
  <si>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</si>
  <si>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</si>
  <si>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 b/w_order_delivery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</si>
  <si>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</si>
  <si>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</si>
  <si>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</si>
  <si>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</si>
  <si>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</si>
  <si>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</si>
  <si>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</si>
  <si>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</si>
  <si>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</si>
  <si>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</si>
  <si>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</si>
  <si>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</si>
  <si>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</si>
  <si>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</si>
  <si>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</si>
  <si>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</si>
  <si>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</si>
  <si>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</si>
  <si>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</si>
  <si>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</si>
  <si>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</si>
  <si>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</si>
  <si>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</si>
  <si>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</si>
  <si>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</si>
  <si>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</si>
  <si>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</si>
  <si>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</si>
  <si>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</si>
  <si>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</si>
  <si>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</si>
  <si>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</si>
  <si>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</si>
  <si>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</si>
  <si>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</si>
  <si>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</si>
  <si>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</si>
  <si>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</si>
  <si>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</si>
  <si>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</si>
  <si>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</si>
  <si>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</si>
  <si>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</si>
  <si>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</si>
  <si>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</si>
  <si>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</si>
  <si>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</si>
  <si>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</si>
  <si>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</si>
  <si>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</si>
  <si>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</si>
  <si>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</si>
  <si>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</si>
  <si>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</si>
  <si>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</si>
  <si>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</si>
  <si>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</si>
  <si>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</si>
  <si>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</si>
  <si>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</si>
  <si>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</si>
  <si>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</si>
  <si>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</si>
  <si>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</si>
  <si>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</si>
  <si>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</si>
  <si>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</si>
  <si>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</si>
  <si>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</si>
  <si>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</si>
  <si>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</si>
  <si>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</si>
  <si>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</si>
  <si>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</si>
  <si>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</si>
  <si>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</si>
  <si>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</si>
  <si>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</si>
  <si>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</si>
  <si>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</si>
  <si>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</si>
  <si>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</si>
  <si>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</si>
  <si>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</si>
  <si>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</si>
  <si>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</si>
  <si>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</si>
  <si>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</si>
  <si>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</si>
  <si>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</si>
  <si>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</si>
  <si>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</si>
  <si>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</si>
  <si>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</si>
  <si>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</si>
  <si>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</si>
  <si>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</si>
  <si>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</si>
  <si>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</si>
  <si>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</si>
  <si>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</si>
  <si>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</si>
  <si>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</si>
  <si>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</si>
  <si>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</si>
  <si>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</si>
  <si>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</si>
  <si>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</si>
  <si>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</si>
  <si>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</si>
  <si>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</si>
  <si>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</si>
  <si>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</si>
  <si>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</si>
  <si>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</si>
  <si>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</si>
  <si>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</si>
  <si>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</si>
  <si>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</si>
  <si>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</si>
  <si>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</si>
  <si>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</si>
  <si>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</si>
  <si>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</si>
  <si>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</si>
  <si>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</si>
  <si>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</si>
  <si>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</si>
  <si>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</si>
  <si>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</si>
  <si>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</si>
  <si>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</si>
  <si>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</si>
  <si>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</si>
  <si>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</si>
  <si>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</si>
  <si>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</si>
  <si>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</si>
  <si>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</si>
  <si>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</si>
  <si>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</si>
  <si>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</si>
  <si>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</si>
  <si>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</si>
  <si>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</si>
  <si>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</si>
  <si>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</si>
  <si>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</si>
  <si>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</si>
  <si>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</si>
  <si>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</si>
  <si>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</si>
  <si>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</si>
  <si>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</si>
  <si>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</si>
  <si>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</si>
  <si>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</si>
  <si>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</si>
  <si>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</si>
  <si>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</si>
  <si>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</si>
  <si>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</si>
  <si>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</si>
  <si>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</si>
  <si>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</si>
  <si>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</si>
  <si>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</si>
  <si>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</si>
  <si>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</si>
  <si>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</si>
  <si>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</si>
  <si>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</si>
  <si>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</si>
  <si>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</si>
  <si>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</si>
  <si>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</si>
  <si>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</si>
  <si>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</si>
  <si>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</si>
  <si>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</si>
  <si>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</si>
  <si>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</si>
  <si>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</si>
  <si>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</si>
  <si>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</si>
  <si>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</si>
  <si>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</si>
  <si>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</si>
  <si>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</si>
  <si>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</si>
  <si>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</si>
  <si>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</si>
  <si>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</si>
  <si>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</si>
  <si>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</si>
  <si>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</si>
  <si>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</si>
  <si>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</si>
  <si>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</si>
  <si>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</si>
  <si>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</si>
  <si>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</si>
  <si>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</si>
  <si>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</si>
  <si>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</si>
  <si>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</si>
  <si>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</si>
  <si>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</si>
  <si>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</si>
  <si>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</si>
  <si>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</si>
  <si>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</si>
  <si>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</si>
  <si>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</si>
  <si>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</si>
  <si>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</si>
  <si>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</si>
  <si>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</si>
  <si>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</si>
  <si>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</si>
  <si>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</si>
  <si>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</si>
  <si>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</si>
  <si>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</si>
  <si>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</si>
  <si>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</si>
  <si>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</si>
  <si>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</si>
  <si>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</si>
  <si>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</si>
  <si>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</si>
  <si>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</si>
  <si>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</si>
  <si>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</si>
  <si>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</si>
  <si>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</si>
  <si>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</si>
  <si>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</si>
  <si>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</si>
  <si>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</si>
  <si>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</si>
  <si>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</si>
  <si>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</si>
  <si>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</si>
  <si>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</si>
  <si>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</si>
  <si>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</si>
  <si>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</si>
  <si>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</si>
  <si>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</si>
  <si>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</si>
  <si>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</si>
  <si>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</si>
  <si>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</si>
  <si>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</si>
  <si>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</si>
  <si>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</si>
  <si>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</si>
  <si>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</si>
  <si>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</si>
  <si>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</si>
  <si>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</si>
  <si>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</si>
  <si>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</si>
  <si>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</si>
  <si>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</si>
  <si>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</si>
  <si>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</si>
  <si>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</si>
  <si>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</si>
  <si>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</si>
  <si>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</si>
  <si>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</si>
  <si>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</si>
  <si>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</si>
  <si>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</si>
  <si>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</si>
  <si>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</si>
  <si>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</si>
  <si>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</si>
  <si>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</si>
  <si>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</si>
  <si>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</si>
  <si>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</si>
  <si>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</si>
  <si>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</si>
  <si>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</si>
  <si>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</si>
  <si>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</si>
  <si>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</si>
  <si>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</si>
  <si>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</si>
  <si>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</si>
  <si>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</si>
  <si>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</si>
  <si>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</si>
  <si>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</si>
  <si>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</si>
  <si>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</si>
  <si>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</si>
  <si>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</si>
  <si>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</si>
  <si>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</si>
  <si>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</si>
  <si>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</si>
  <si>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</si>
  <si>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</si>
  <si>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</si>
  <si>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</si>
  <si>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</si>
  <si>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</si>
  <si>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</si>
  <si>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</si>
  <si>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</si>
  <si>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</si>
  <si>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</si>
  <si>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</si>
  <si>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</si>
  <si>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</si>
  <si>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</si>
  <si>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</si>
  <si>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</si>
  <si>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</si>
  <si>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</si>
  <si>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</si>
  <si>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</si>
  <si>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</si>
  <si>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</si>
  <si>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</si>
  <si>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</si>
  <si>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</si>
  <si>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</si>
  <si>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</si>
  <si>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</si>
  <si>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</si>
  <si>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</si>
  <si>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</si>
  <si>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</si>
  <si>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</si>
  <si>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</si>
  <si>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</si>
  <si>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</si>
  <si>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</si>
  <si>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</si>
  <si>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</si>
  <si>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</si>
  <si>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</si>
  <si>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</si>
  <si>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</si>
  <si>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</si>
  <si>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</si>
  <si>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</si>
  <si>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</si>
  <si>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</si>
  <si>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</si>
  <si>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</si>
  <si>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</si>
  <si>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</si>
  <si>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</si>
  <si>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</si>
  <si>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</si>
  <si>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</si>
  <si>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</si>
  <si>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</si>
  <si>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</si>
  <si>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</si>
  <si>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</si>
  <si>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</si>
  <si>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</si>
  <si>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</si>
  <si>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</si>
  <si>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</si>
  <si>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</si>
  <si>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</si>
  <si>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</si>
  <si>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</si>
  <si>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</si>
  <si>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</si>
  <si>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</si>
  <si>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</si>
  <si>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</si>
  <si>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</si>
  <si>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</si>
  <si>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</si>
  <si>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</si>
  <si>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</si>
  <si>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</si>
  <si>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Day Name(Order Date)</t>
  </si>
  <si>
    <t>Saturday</t>
  </si>
  <si>
    <t>Wednesday</t>
  </si>
  <si>
    <t>Friday</t>
  </si>
  <si>
    <t>Sunday</t>
  </si>
  <si>
    <t>Monday</t>
  </si>
  <si>
    <t>Tuesday</t>
  </si>
  <si>
    <t>Thursday</t>
  </si>
  <si>
    <t>Sum of Revenue</t>
  </si>
  <si>
    <t>Row Labels</t>
  </si>
  <si>
    <t>Grand Total</t>
  </si>
  <si>
    <t>Average of diff b/w_order_delivery</t>
  </si>
  <si>
    <t xml:space="preserve"> </t>
  </si>
  <si>
    <t>Average of customer spending</t>
  </si>
  <si>
    <t>Count of Order_ID</t>
  </si>
  <si>
    <t>Strongly negative=-1</t>
  </si>
  <si>
    <t>strongly positive=1</t>
  </si>
  <si>
    <t>Neutral=0</t>
  </si>
  <si>
    <t>Average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</si>
</sst>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0.xml"/><Relationship Id="rId21" Type="http://schemas.openxmlformats.org/officeDocument/2006/relationships/pivotCacheDefinition" Target="pivotCache/pivotCacheDefinition1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2.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Revenue</a:t>
            </a:r>
            <a:r>
              <a:rPr lang="en-US" baseline="0">
                <a:solidFill>
                  <a:schemeClr val="accent6">
                    <a:lumMod val="50000"/>
                  </a:schemeClr>
                </a:solidFill>
              </a:rPr>
              <a:t> by Months</a:t>
            </a:r>
            <a:endParaRPr lang="en-US">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cat>
            <c:strRef>
              <c:f>'Pivot Table'!$A$2:$A$14</c:f>
              <c:strCache>
                <c:ptCount val="12"/>
                <c:pt idx="0">
                  <c:v>February</c:v>
                </c:pt>
                <c:pt idx="1">
                  <c:v>March</c:v>
                </c:pt>
                <c:pt idx="2">
                  <c:v>April</c:v>
                </c:pt>
                <c:pt idx="3">
                  <c:v>May</c:v>
                </c:pt>
                <c:pt idx="4">
                  <c:v>June</c:v>
                </c:pt>
                <c:pt idx="5">
                  <c:v>July</c:v>
                </c:pt>
                <c:pt idx="6">
                  <c:v>August</c:v>
                </c:pt>
                <c:pt idx="7">
                  <c:v>September</c:v>
                </c:pt>
                <c:pt idx="8">
                  <c:v>October</c:v>
                </c:pt>
                <c:pt idx="9">
                  <c:v>November</c:v>
                </c:pt>
                <c:pt idx="10">
                  <c:v>December</c:v>
                </c:pt>
                <c:pt idx="11">
                  <c:v> </c:v>
                </c:pt>
              </c:strCache>
            </c:strRef>
          </c:cat>
          <c:val>
            <c:numRef>
              <c:f>'Pivot Table'!$B$2:$B$14</c:f>
              <c:numCache>
                <c:formatCode>"₹"\ #,##0.00;#,##0.00\ \-"₹";"₹"\ #,##0.00</c:formatCode>
                <c:ptCount val="12"/>
                <c:pt idx="0">
                  <c:v>704509</c:v>
                </c:pt>
                <c:pt idx="1">
                  <c:v>511823</c:v>
                </c:pt>
                <c:pt idx="2">
                  <c:v>140393</c:v>
                </c:pt>
                <c:pt idx="3">
                  <c:v>150346</c:v>
                </c:pt>
                <c:pt idx="4">
                  <c:v>157913</c:v>
                </c:pt>
                <c:pt idx="5">
                  <c:v>135826</c:v>
                </c:pt>
                <c:pt idx="6">
                  <c:v>737389</c:v>
                </c:pt>
                <c:pt idx="7">
                  <c:v>136938</c:v>
                </c:pt>
                <c:pt idx="8">
                  <c:v>151619</c:v>
                </c:pt>
                <c:pt idx="9">
                  <c:v>449169</c:v>
                </c:pt>
                <c:pt idx="10">
                  <c:v>149591</c:v>
                </c:pt>
                <c:pt idx="11">
                  <c:v>95468</c:v>
                </c:pt>
              </c:numCache>
            </c:numRef>
          </c:val>
          <c:smooth val="0"/>
          <c:extLst>
            <c:ext xmlns:c16="http://schemas.microsoft.com/office/drawing/2014/chart" uri="{C3380CC4-5D6E-409C-BE32-E72D297353CC}">
              <c16:uniqueId val="{00000003-4438-475B-B05A-88A01203F7BB}"/>
            </c:ext>
          </c:extLst>
        </c:ser>
        <c:dLbls>
          <c:showLegendKey val="0"/>
          <c:showVal val="0"/>
          <c:showCatName val="0"/>
          <c:showSerName val="0"/>
          <c:showPercent val="0"/>
          <c:showBubbleSize val="0"/>
        </c:dLbls>
        <c:marker val="1"/>
        <c:smooth val="0"/>
        <c:axId val="683561696"/>
        <c:axId val="683564576"/>
      </c:lineChart>
      <c:catAx>
        <c:axId val="68356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564576"/>
        <c:crosses val="autoZero"/>
        <c:auto val="1"/>
        <c:lblAlgn val="ctr"/>
        <c:lblOffset val="100"/>
        <c:noMultiLvlLbl val="0"/>
      </c:catAx>
      <c:valAx>
        <c:axId val="683564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56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Table!PivotTable5</c:name>
    <c:fmtId val="18"/>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Top</a:t>
            </a:r>
            <a:r>
              <a:rPr lang="en-US" baseline="0">
                <a:solidFill>
                  <a:schemeClr val="accent6">
                    <a:lumMod val="50000"/>
                  </a:schemeClr>
                </a:solidFill>
              </a:rPr>
              <a:t> 5 Products by Revenue</a:t>
            </a:r>
            <a:endParaRPr lang="en-US">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Table'!$E$5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Table'!$D$6:$D$11</c:f>
              <c:strCache>
                <c:ptCount val="5"/>
                <c:pt idx="0">
                  <c:v>Deserunt Box</c:v>
                </c:pt>
                <c:pt idx="1">
                  <c:v>Dolores Gift</c:v>
                </c:pt>
                <c:pt idx="2">
                  <c:v>Harum Pack</c:v>
                </c:pt>
                <c:pt idx="3">
                  <c:v>Magnam Set</c:v>
                </c:pt>
                <c:pt idx="4">
                  <c:v>Quia Gift</c:v>
                </c:pt>
              </c:strCache>
            </c:strRef>
          </c:cat>
          <c:val>
            <c:numRef>
              <c:f>'Pivot Table'!$E$6:$E$11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95B9-4523-8173-BD4D5229CFB6}"/>
            </c:ext>
          </c:extLst>
        </c:ser>
        <c:dLbls>
          <c:dLblPos val="inEnd"/>
          <c:showLegendKey val="0"/>
          <c:showVal val="1"/>
          <c:showCatName val="0"/>
          <c:showSerName val="0"/>
          <c:showPercent val="0"/>
          <c:showBubbleSize val="0"/>
        </c:dLbls>
        <c:gapWidth val="182"/>
        <c:overlap val="100"/>
        <c:axId val="683573696"/>
        <c:axId val="683562656"/>
      </c:barChart>
      <c:catAx>
        <c:axId val="683573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562656"/>
        <c:crosses val="autoZero"/>
        <c:auto val="1"/>
        <c:lblAlgn val="ctr"/>
        <c:lblOffset val="100"/>
        <c:noMultiLvlLbl val="0"/>
      </c:catAx>
      <c:valAx>
        <c:axId val="683562656"/>
        <c:scaling>
          <c:orientation val="minMax"/>
        </c:scaling>
        <c:delete val="0"/>
        <c:axPos val="l"/>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57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Table!PivotTable9</c:name>
    <c:fmtId val="13"/>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Top</a:t>
            </a:r>
            <a:r>
              <a:rPr lang="en-US" baseline="0">
                <a:solidFill>
                  <a:schemeClr val="accent6">
                    <a:lumMod val="50000"/>
                  </a:schemeClr>
                </a:solidFill>
              </a:rPr>
              <a:t>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Table'!$D$15:$D$25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Table'!$E$15:$E$25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A1CD-4C34-84EB-BD756D90F1A4}"/>
            </c:ext>
          </c:extLst>
        </c:ser>
        <c:dLbls>
          <c:dLblPos val="outEnd"/>
          <c:showLegendKey val="0"/>
          <c:showVal val="1"/>
          <c:showCatName val="0"/>
          <c:showSerName val="0"/>
          <c:showPercent val="0"/>
          <c:showBubbleSize val="0"/>
        </c:dLbls>
        <c:gapWidth val="219"/>
        <c:overlap val="-27"/>
        <c:axId val="683591936"/>
        <c:axId val="683586176"/>
      </c:barChart>
      <c:catAx>
        <c:axId val="68359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586176"/>
        <c:crosses val="autoZero"/>
        <c:auto val="1"/>
        <c:lblAlgn val="ctr"/>
        <c:lblOffset val="100"/>
        <c:noMultiLvlLbl val="0"/>
      </c:catAx>
      <c:valAx>
        <c:axId val="683586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59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Table!PivotTable8</c:name>
    <c:fmtId val="6"/>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Revenue</a:t>
            </a:r>
            <a:r>
              <a:rPr lang="en-US" baseline="0">
                <a:solidFill>
                  <a:schemeClr val="accent6">
                    <a:lumMod val="50000"/>
                  </a:schemeClr>
                </a:solidFill>
              </a:rPr>
              <a:t> by Category</a:t>
            </a:r>
            <a:endParaRPr lang="en-US">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Table'!$B$17</c:f>
              <c:strCache>
                <c:ptCount val="1"/>
                <c:pt idx="0">
                  <c:v>Total</c:v>
                </c:pt>
              </c:strCache>
            </c:strRef>
          </c:tx>
          <c:spPr>
            <a:solidFill>
              <a:schemeClr val="accent6">
                <a:lumMod val="75000"/>
              </a:schemeClr>
            </a:solidFill>
            <a:ln>
              <a:noFill/>
            </a:ln>
            <a:effectLst/>
          </c:spPr>
          <c:invertIfNegative val="0"/>
          <c:cat>
            <c:strRef>
              <c:f>'Pivot Table'!$A$18:$A$25</c:f>
              <c:strCache>
                <c:ptCount val="7"/>
                <c:pt idx="0">
                  <c:v>Cake</c:v>
                </c:pt>
                <c:pt idx="1">
                  <c:v>Colors</c:v>
                </c:pt>
                <c:pt idx="2">
                  <c:v>Mugs</c:v>
                </c:pt>
                <c:pt idx="3">
                  <c:v>Plants</c:v>
                </c:pt>
                <c:pt idx="4">
                  <c:v>Raksha Bandhan</c:v>
                </c:pt>
                <c:pt idx="5">
                  <c:v>Soft Toys</c:v>
                </c:pt>
                <c:pt idx="6">
                  <c:v>Sweets</c:v>
                </c:pt>
              </c:strCache>
            </c:strRef>
          </c:cat>
          <c:val>
            <c:numRef>
              <c:f>'Pivot Table'!$B$18:$B$25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4CB-4D5C-B15B-7A78E237AF9B}"/>
            </c:ext>
          </c:extLst>
        </c:ser>
        <c:dLbls>
          <c:showLegendKey val="0"/>
          <c:showVal val="0"/>
          <c:showCatName val="0"/>
          <c:showSerName val="0"/>
          <c:showPercent val="0"/>
          <c:showBubbleSize val="0"/>
        </c:dLbls>
        <c:gapWidth val="150"/>
        <c:overlap val="100"/>
        <c:axId val="683583296"/>
        <c:axId val="683583776"/>
      </c:barChart>
      <c:catAx>
        <c:axId val="68358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583776"/>
        <c:crosses val="autoZero"/>
        <c:auto val="1"/>
        <c:lblAlgn val="ctr"/>
        <c:lblOffset val="100"/>
        <c:noMultiLvlLbl val="0"/>
      </c:catAx>
      <c:valAx>
        <c:axId val="683583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58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Table!PivotTable10</c:name>
    <c:fmtId val="6"/>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Revenue</a:t>
            </a:r>
            <a:r>
              <a:rPr lang="en-US" baseline="0">
                <a:solidFill>
                  <a:schemeClr val="accent6">
                    <a:lumMod val="50000"/>
                  </a:schemeClr>
                </a:solidFill>
              </a:rPr>
              <a:t> by Ocassions</a:t>
            </a:r>
            <a:endParaRPr lang="en-US">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Table'!$A$29:$A$36</c:f>
              <c:strCache>
                <c:ptCount val="7"/>
                <c:pt idx="0">
                  <c:v>All Occasions</c:v>
                </c:pt>
                <c:pt idx="1">
                  <c:v>Anniversary</c:v>
                </c:pt>
                <c:pt idx="2">
                  <c:v>Birthday</c:v>
                </c:pt>
                <c:pt idx="3">
                  <c:v>Diwali</c:v>
                </c:pt>
                <c:pt idx="4">
                  <c:v>Holi</c:v>
                </c:pt>
                <c:pt idx="5">
                  <c:v>Raksha Bandhan</c:v>
                </c:pt>
                <c:pt idx="6">
                  <c:v>Valentine's Day</c:v>
                </c:pt>
              </c:strCache>
            </c:strRef>
          </c:cat>
          <c:val>
            <c:numRef>
              <c:f>'Pivot Table'!$B$29:$B$36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49C9-458E-8A42-EFA98E6C5529}"/>
            </c:ext>
          </c:extLst>
        </c:ser>
        <c:dLbls>
          <c:dLblPos val="inEnd"/>
          <c:showLegendKey val="0"/>
          <c:showVal val="1"/>
          <c:showCatName val="0"/>
          <c:showSerName val="0"/>
          <c:showPercent val="0"/>
          <c:showBubbleSize val="0"/>
        </c:dLbls>
        <c:gapWidth val="150"/>
        <c:overlap val="100"/>
        <c:axId val="683475296"/>
        <c:axId val="683476256"/>
      </c:barChart>
      <c:catAx>
        <c:axId val="68347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476256"/>
        <c:crosses val="autoZero"/>
        <c:auto val="1"/>
        <c:lblAlgn val="ctr"/>
        <c:lblOffset val="100"/>
        <c:noMultiLvlLbl val="0"/>
      </c:catAx>
      <c:valAx>
        <c:axId val="68347625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47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Table!PivotTable11</c:name>
    <c:fmtId val="13"/>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Revenue</a:t>
            </a:r>
            <a:r>
              <a:rPr lang="en-US" baseline="0">
                <a:solidFill>
                  <a:schemeClr val="accent6">
                    <a:lumMod val="50000"/>
                  </a:schemeClr>
                </a:solidFill>
              </a:rPr>
              <a:t> by Hours (Order Time)</a:t>
            </a:r>
            <a:endParaRPr lang="en-US">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Table'!$E$28</c:f>
              <c:strCache>
                <c:ptCount val="1"/>
                <c:pt idx="0">
                  <c:v>Total</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cat>
            <c:strRef>
              <c:f>'Pivot Table'!$D$29:$D$53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Table'!$E$29:$E$53</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639C-4C65-B977-E963A7D05BAC}"/>
            </c:ext>
          </c:extLst>
        </c:ser>
        <c:dLbls>
          <c:showLegendKey val="0"/>
          <c:showVal val="0"/>
          <c:showCatName val="0"/>
          <c:showSerName val="0"/>
          <c:showPercent val="0"/>
          <c:showBubbleSize val="0"/>
        </c:dLbls>
        <c:marker val="1"/>
        <c:smooth val="0"/>
        <c:axId val="683484896"/>
        <c:axId val="683485376"/>
      </c:lineChart>
      <c:catAx>
        <c:axId val="68348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485376"/>
        <c:crosses val="autoZero"/>
        <c:auto val="1"/>
        <c:lblAlgn val="ctr"/>
        <c:lblOffset val="100"/>
        <c:tickLblSkip val="2"/>
        <c:noMultiLvlLbl val="0"/>
      </c:catAx>
      <c:valAx>
        <c:axId val="683485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48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6</xdr:col>
      <xdr:colOff>550752</xdr:colOff>
      <xdr:row>20</xdr:row>
      <xdr:rowOff>128267</xdr:rowOff>
    </xdr:from>
    <xdr:to>
      <xdr:col>13</xdr:col>
      <xdr:colOff>376989</xdr:colOff>
      <xdr:row>35</xdr:row>
      <xdr:rowOff>40227</xdr:rowOff>
    </xdr:to>
    <xdr:graphicFrame macro="">
      <xdr:nvGraphicFramePr>
        <xdr:cNvPr id="3" name="Chart 2">
          <a:extLst>
            <a:ext uri="{FF2B5EF4-FFF2-40B4-BE49-F238E27FC236}">
              <a16:creationId xmlns:a16="http://schemas.microsoft.com/office/drawing/2014/main" id="{CCD45AC1-B49B-4CE8-8B58-FC674272F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433736</xdr:colOff>
      <xdr:row>20</xdr:row>
      <xdr:rowOff>120798</xdr:rowOff>
    </xdr:from>
    <xdr:to>
      <xdr:col>20</xdr:col>
      <xdr:colOff>259974</xdr:colOff>
      <xdr:row>35</xdr:row>
      <xdr:rowOff>32758</xdr:rowOff>
    </xdr:to>
    <xdr:graphicFrame macro="">
      <xdr:nvGraphicFramePr>
        <xdr:cNvPr id="4" name="Chart 3">
          <a:extLst>
            <a:ext uri="{FF2B5EF4-FFF2-40B4-BE49-F238E27FC236}">
              <a16:creationId xmlns:a16="http://schemas.microsoft.com/office/drawing/2014/main" id="{BB5C63C7-C283-4416-9C26-5C4FCE4F6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48436</xdr:colOff>
      <xdr:row>20</xdr:row>
      <xdr:rowOff>120716</xdr:rowOff>
    </xdr:from>
    <xdr:to>
      <xdr:col>6</xdr:col>
      <xdr:colOff>485783</xdr:colOff>
      <xdr:row>35</xdr:row>
      <xdr:rowOff>32676</xdr:rowOff>
    </xdr:to>
    <xdr:graphicFrame macro="">
      <xdr:nvGraphicFramePr>
        <xdr:cNvPr id="6" name="Chart 5">
          <a:extLst>
            <a:ext uri="{FF2B5EF4-FFF2-40B4-BE49-F238E27FC236}">
              <a16:creationId xmlns:a16="http://schemas.microsoft.com/office/drawing/2014/main" id="{301DEE6C-7EA3-4B2D-B461-5D67046CD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60582</xdr:colOff>
      <xdr:row>5</xdr:row>
      <xdr:rowOff>98839</xdr:rowOff>
    </xdr:from>
    <xdr:to>
      <xdr:col>6</xdr:col>
      <xdr:colOff>497929</xdr:colOff>
      <xdr:row>20</xdr:row>
      <xdr:rowOff>10800</xdr:rowOff>
    </xdr:to>
    <xdr:graphicFrame macro="">
      <xdr:nvGraphicFramePr>
        <xdr:cNvPr id="7" name="Chart 6">
          <a:extLst>
            <a:ext uri="{FF2B5EF4-FFF2-40B4-BE49-F238E27FC236}">
              <a16:creationId xmlns:a16="http://schemas.microsoft.com/office/drawing/2014/main" id="{82C80FB8-2881-4932-AD6E-BF649685B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13</xdr:col>
      <xdr:colOff>452673</xdr:colOff>
      <xdr:row>5</xdr:row>
      <xdr:rowOff>91599</xdr:rowOff>
    </xdr:from>
    <xdr:to>
      <xdr:col>20</xdr:col>
      <xdr:colOff>242911</xdr:colOff>
      <xdr:row>20</xdr:row>
      <xdr:rowOff>3560</xdr:rowOff>
    </xdr:to>
    <xdr:graphicFrame macro="">
      <xdr:nvGraphicFramePr>
        <xdr:cNvPr id="8" name="Chart 7">
          <a:extLst>
            <a:ext uri="{FF2B5EF4-FFF2-40B4-BE49-F238E27FC236}">
              <a16:creationId xmlns:a16="http://schemas.microsoft.com/office/drawing/2014/main" id="{26A91699-35CB-45D8-9233-C6A4DF011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6</xdr:col>
      <xdr:colOff>568105</xdr:colOff>
      <xdr:row>5</xdr:row>
      <xdr:rowOff>98987</xdr:rowOff>
    </xdr:from>
    <xdr:to>
      <xdr:col>13</xdr:col>
      <xdr:colOff>394342</xdr:colOff>
      <xdr:row>20</xdr:row>
      <xdr:rowOff>10948</xdr:rowOff>
    </xdr:to>
    <xdr:graphicFrame macro="">
      <xdr:nvGraphicFramePr>
        <xdr:cNvPr id="9" name="Chart 8">
          <a:extLst>
            <a:ext uri="{FF2B5EF4-FFF2-40B4-BE49-F238E27FC236}">
              <a16:creationId xmlns:a16="http://schemas.microsoft.com/office/drawing/2014/main" id="{67030560-EB67-4F82-B587-8FC262E2F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20</xdr:col>
      <xdr:colOff>347643</xdr:colOff>
      <xdr:row>22</xdr:row>
      <xdr:rowOff>15090</xdr:rowOff>
    </xdr:from>
    <xdr:to>
      <xdr:col>22</xdr:col>
      <xdr:colOff>493425</xdr:colOff>
      <xdr:row>34</xdr:row>
      <xdr:rowOff>150894</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C46FC811-9D90-485A-A0C8-9788FBD4449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569821" y="3998615"/>
              <a:ext cx="1368000" cy="2308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6</xdr:col>
      <xdr:colOff>173525</xdr:colOff>
      <xdr:row>0</xdr:row>
      <xdr:rowOff>82990</xdr:rowOff>
    </xdr:from>
    <xdr:to>
      <xdr:col>9</xdr:col>
      <xdr:colOff>320198</xdr:colOff>
      <xdr:row>4</xdr:row>
      <xdr:rowOff>150713</xdr:rowOff>
    </xdr:to>
    <xdr:sp macro="" textlink="'Pivot Table'!A40">
      <xdr:nvSpPr>
        <xdr:cNvPr id="5" name="Rectangle: Rounded Corners 4">
          <a:extLst>
            <a:ext uri="{FF2B5EF4-FFF2-40B4-BE49-F238E27FC236}">
              <a16:creationId xmlns:a16="http://schemas.microsoft.com/office/drawing/2014/main" id="{DF97F204-3787-A5D7-6F5C-2A77021ED8F3}"/>
            </a:ext>
          </a:extLst>
        </xdr:cNvPr>
        <xdr:cNvSpPr/>
      </xdr:nvSpPr>
      <xdr:spPr>
        <a:xfrm>
          <a:off x="3840178" y="82990"/>
          <a:ext cx="1980000" cy="792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4C6C73-7CC0-41B0-A47F-F78A28E0A3F3}" type="TxLink">
            <a:rPr lang="en-US" sz="1800" b="0" i="0" u="none" strike="noStrike">
              <a:solidFill>
                <a:schemeClr val="accent6">
                  <a:lumMod val="50000"/>
                </a:schemeClr>
              </a:solidFill>
              <a:latin typeface="Calibri"/>
              <a:ea typeface="Calibri"/>
              <a:cs typeface="Calibri"/>
            </a:rPr>
            <a:pPr algn="ctr"/>
            <a:t>1000</a:t>
          </a:fld>
          <a:r>
            <a:rPr lang="en-US" sz="1800" b="0" i="0" u="none" strike="noStrike">
              <a:solidFill>
                <a:schemeClr val="accent6">
                  <a:lumMod val="50000"/>
                </a:schemeClr>
              </a:solidFill>
              <a:latin typeface="Calibri"/>
              <a:ea typeface="Calibri"/>
              <a:cs typeface="Calibri"/>
            </a:rPr>
            <a:t> </a:t>
          </a:r>
        </a:p>
        <a:p>
          <a:pPr algn="ctr"/>
          <a:r>
            <a:rPr lang="en-US" sz="1800" b="0" i="0" u="none" strike="noStrike">
              <a:solidFill>
                <a:schemeClr val="accent6">
                  <a:lumMod val="50000"/>
                </a:schemeClr>
              </a:solidFill>
              <a:latin typeface="Calibri"/>
              <a:ea typeface="Calibri"/>
              <a:cs typeface="Calibri"/>
            </a:rPr>
            <a:t>Total Orders</a:t>
          </a:r>
          <a:endParaRPr lang="en-IN" sz="1800">
            <a:solidFill>
              <a:schemeClr val="accent6">
                <a:lumMod val="50000"/>
              </a:schemeClr>
            </a:solidFill>
          </a:endParaRPr>
        </a:p>
      </xdr:txBody>
    </xdr:sp>
    <xdr:clientData/>
  </xdr:twoCellAnchor>
  <xdr:twoCellAnchor editAs="absolute">
    <xdr:from>
      <xdr:col>9</xdr:col>
      <xdr:colOff>430041</xdr:colOff>
      <xdr:row>0</xdr:row>
      <xdr:rowOff>90536</xdr:rowOff>
    </xdr:from>
    <xdr:to>
      <xdr:col>12</xdr:col>
      <xdr:colOff>576714</xdr:colOff>
      <xdr:row>4</xdr:row>
      <xdr:rowOff>158259</xdr:rowOff>
    </xdr:to>
    <xdr:sp macro="" textlink="'Pivot Table'!A43">
      <xdr:nvSpPr>
        <xdr:cNvPr id="10" name="Rectangle: Rounded Corners 9">
          <a:extLst>
            <a:ext uri="{FF2B5EF4-FFF2-40B4-BE49-F238E27FC236}">
              <a16:creationId xmlns:a16="http://schemas.microsoft.com/office/drawing/2014/main" id="{2787842C-3B6D-4739-A05D-3759AF03FDFD}"/>
            </a:ext>
          </a:extLst>
        </xdr:cNvPr>
        <xdr:cNvSpPr/>
      </xdr:nvSpPr>
      <xdr:spPr>
        <a:xfrm>
          <a:off x="5930021" y="90536"/>
          <a:ext cx="1980000" cy="792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77171F5-99AE-40C4-A8DE-2D8BBDD6EA1E}" type="TxLink">
            <a:rPr lang="en-US" sz="1800" b="0" i="0" u="none" strike="noStrike">
              <a:solidFill>
                <a:schemeClr val="accent6">
                  <a:lumMod val="50000"/>
                </a:schemeClr>
              </a:solidFill>
              <a:latin typeface="Calibri"/>
              <a:ea typeface="Calibri"/>
              <a:cs typeface="Calibri"/>
            </a:rPr>
            <a:pPr algn="ctr"/>
            <a:t>₹ 35,20,984.00</a:t>
          </a:fld>
          <a:endParaRPr lang="en-US" sz="1800" b="0" i="0" u="none" strike="noStrike">
            <a:solidFill>
              <a:schemeClr val="accent6">
                <a:lumMod val="50000"/>
              </a:schemeClr>
            </a:solidFill>
            <a:latin typeface="Calibri"/>
            <a:ea typeface="Calibri"/>
            <a:cs typeface="Calibri"/>
          </a:endParaRPr>
        </a:p>
        <a:p>
          <a:pPr algn="ctr"/>
          <a:r>
            <a:rPr lang="en-US" sz="1800" b="0" i="0" u="none" strike="noStrike">
              <a:solidFill>
                <a:schemeClr val="accent6">
                  <a:lumMod val="50000"/>
                </a:schemeClr>
              </a:solidFill>
              <a:latin typeface="Calibri"/>
              <a:ea typeface="Calibri"/>
              <a:cs typeface="Calibri"/>
            </a:rPr>
            <a:t>Total Revenue</a:t>
          </a:r>
          <a:endParaRPr lang="en-IN" sz="1800">
            <a:solidFill>
              <a:schemeClr val="accent6">
                <a:lumMod val="50000"/>
              </a:schemeClr>
            </a:solidFill>
          </a:endParaRPr>
        </a:p>
      </xdr:txBody>
    </xdr:sp>
    <xdr:clientData/>
  </xdr:twoCellAnchor>
  <xdr:twoCellAnchor editAs="absolute">
    <xdr:from>
      <xdr:col>13</xdr:col>
      <xdr:colOff>60355</xdr:colOff>
      <xdr:row>0</xdr:row>
      <xdr:rowOff>75448</xdr:rowOff>
    </xdr:from>
    <xdr:to>
      <xdr:col>16</xdr:col>
      <xdr:colOff>387028</xdr:colOff>
      <xdr:row>4</xdr:row>
      <xdr:rowOff>143171</xdr:rowOff>
    </xdr:to>
    <xdr:sp macro="" textlink="'Pivot Table'!A46">
      <xdr:nvSpPr>
        <xdr:cNvPr id="11" name="Rectangle: Rounded Corners 10">
          <a:extLst>
            <a:ext uri="{FF2B5EF4-FFF2-40B4-BE49-F238E27FC236}">
              <a16:creationId xmlns:a16="http://schemas.microsoft.com/office/drawing/2014/main" id="{ED19A857-C91A-445E-9F90-F9EB70521D2F}"/>
            </a:ext>
          </a:extLst>
        </xdr:cNvPr>
        <xdr:cNvSpPr/>
      </xdr:nvSpPr>
      <xdr:spPr>
        <a:xfrm>
          <a:off x="8004771" y="75448"/>
          <a:ext cx="2160000" cy="792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58A83B-8752-4970-A967-E248F2CB1952}" type="TxLink">
            <a:rPr lang="en-US" sz="1800" b="0" i="0" u="none" strike="noStrike">
              <a:solidFill>
                <a:schemeClr val="accent6">
                  <a:lumMod val="50000"/>
                </a:schemeClr>
              </a:solidFill>
              <a:latin typeface="Calibri"/>
              <a:ea typeface="Calibri"/>
              <a:cs typeface="Calibri"/>
            </a:rPr>
            <a:pPr algn="ctr"/>
            <a:t>5.53</a:t>
          </a:fld>
          <a:endParaRPr lang="en-US" sz="1800" b="0" i="0" u="none" strike="noStrike">
            <a:solidFill>
              <a:schemeClr val="accent6">
                <a:lumMod val="50000"/>
              </a:schemeClr>
            </a:solidFill>
            <a:latin typeface="Calibri"/>
            <a:ea typeface="Calibri"/>
            <a:cs typeface="Calibri"/>
          </a:endParaRPr>
        </a:p>
        <a:p>
          <a:pPr algn="ctr"/>
          <a:r>
            <a:rPr lang="en-US" sz="1800" b="0" i="0" u="none" strike="noStrike">
              <a:solidFill>
                <a:schemeClr val="accent6">
                  <a:lumMod val="50000"/>
                </a:schemeClr>
              </a:solidFill>
              <a:latin typeface="Calibri"/>
              <a:ea typeface="Calibri"/>
              <a:cs typeface="Calibri"/>
            </a:rPr>
            <a:t>Order-Delivery Time</a:t>
          </a:r>
          <a:endParaRPr lang="en-IN" sz="1800">
            <a:solidFill>
              <a:schemeClr val="accent6">
                <a:lumMod val="50000"/>
              </a:schemeClr>
            </a:solidFill>
          </a:endParaRPr>
        </a:p>
      </xdr:txBody>
    </xdr:sp>
    <xdr:clientData/>
  </xdr:twoCellAnchor>
  <xdr:twoCellAnchor editAs="absolute">
    <xdr:from>
      <xdr:col>16</xdr:col>
      <xdr:colOff>482852</xdr:colOff>
      <xdr:row>0</xdr:row>
      <xdr:rowOff>75447</xdr:rowOff>
    </xdr:from>
    <xdr:to>
      <xdr:col>20</xdr:col>
      <xdr:colOff>18417</xdr:colOff>
      <xdr:row>4</xdr:row>
      <xdr:rowOff>143170</xdr:rowOff>
    </xdr:to>
    <xdr:sp macro="" textlink="'Pivot Table'!A49">
      <xdr:nvSpPr>
        <xdr:cNvPr id="12" name="Rectangle: Rounded Corners 11">
          <a:extLst>
            <a:ext uri="{FF2B5EF4-FFF2-40B4-BE49-F238E27FC236}">
              <a16:creationId xmlns:a16="http://schemas.microsoft.com/office/drawing/2014/main" id="{0E26D3A7-DFF3-4238-B36D-96B62816DADB}"/>
            </a:ext>
          </a:extLst>
        </xdr:cNvPr>
        <xdr:cNvSpPr/>
      </xdr:nvSpPr>
      <xdr:spPr>
        <a:xfrm>
          <a:off x="10260595" y="75447"/>
          <a:ext cx="1980000" cy="792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E1B5940-FAB9-4784-A8AD-22766775E174}" type="TxLink">
            <a:rPr lang="en-US" sz="1600" b="0" i="0" u="none" strike="noStrike">
              <a:solidFill>
                <a:schemeClr val="accent6">
                  <a:lumMod val="50000"/>
                </a:schemeClr>
              </a:solidFill>
              <a:latin typeface="Calibri"/>
              <a:ea typeface="Calibri"/>
              <a:cs typeface="Calibri"/>
            </a:rPr>
            <a:pPr algn="ctr"/>
            <a:t>₹ 3,520.98</a:t>
          </a:fld>
          <a:endParaRPr lang="en-US" sz="1600" b="0" i="0" u="none" strike="noStrike">
            <a:solidFill>
              <a:schemeClr val="accent6">
                <a:lumMod val="50000"/>
              </a:schemeClr>
            </a:solidFill>
            <a:latin typeface="Calibri"/>
            <a:ea typeface="Calibri"/>
            <a:cs typeface="Calibri"/>
          </a:endParaRPr>
        </a:p>
        <a:p>
          <a:pPr algn="ctr"/>
          <a:r>
            <a:rPr lang="en-US" sz="1600" b="0" i="0" u="none" strike="noStrike">
              <a:solidFill>
                <a:schemeClr val="accent6">
                  <a:lumMod val="50000"/>
                </a:schemeClr>
              </a:solidFill>
              <a:latin typeface="Calibri"/>
              <a:ea typeface="Calibri"/>
              <a:cs typeface="Calibri"/>
            </a:rPr>
            <a:t>Avg. Customer Spent</a:t>
          </a:r>
          <a:endParaRPr lang="en-IN" sz="1600">
            <a:solidFill>
              <a:schemeClr val="accent6">
                <a:lumMod val="50000"/>
              </a:schemeClr>
            </a:solidFill>
          </a:endParaRPr>
        </a:p>
      </xdr:txBody>
    </xdr:sp>
    <xdr:clientData/>
  </xdr:twoCellAnchor>
  <xdr:twoCellAnchor editAs="absolute">
    <xdr:from>
      <xdr:col>0</xdr:col>
      <xdr:colOff>113169</xdr:colOff>
      <xdr:row>0</xdr:row>
      <xdr:rowOff>90537</xdr:rowOff>
    </xdr:from>
    <xdr:to>
      <xdr:col>5</xdr:col>
      <xdr:colOff>437585</xdr:colOff>
      <xdr:row>4</xdr:row>
      <xdr:rowOff>158260</xdr:rowOff>
    </xdr:to>
    <xdr:sp macro="" textlink="'Pivot Table'!A40">
      <xdr:nvSpPr>
        <xdr:cNvPr id="13" name="Rectangle: Rounded Corners 12">
          <a:extLst>
            <a:ext uri="{FF2B5EF4-FFF2-40B4-BE49-F238E27FC236}">
              <a16:creationId xmlns:a16="http://schemas.microsoft.com/office/drawing/2014/main" id="{770540FA-5BA5-4590-8CA9-56D7E3BEE0D5}"/>
            </a:ext>
          </a:extLst>
        </xdr:cNvPr>
        <xdr:cNvSpPr/>
      </xdr:nvSpPr>
      <xdr:spPr>
        <a:xfrm>
          <a:off x="113169" y="90537"/>
          <a:ext cx="3379961" cy="792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3200" b="1">
              <a:solidFill>
                <a:schemeClr val="accent6">
                  <a:lumMod val="50000"/>
                </a:schemeClr>
              </a:solidFill>
            </a:rPr>
            <a:t>Sales</a:t>
          </a:r>
          <a:r>
            <a:rPr lang="en-IN" sz="3200" b="1" baseline="0">
              <a:solidFill>
                <a:schemeClr val="accent6">
                  <a:lumMod val="50000"/>
                </a:schemeClr>
              </a:solidFill>
            </a:rPr>
            <a:t> Analysis</a:t>
          </a:r>
          <a:endParaRPr lang="en-IN" sz="3200" b="1">
            <a:solidFill>
              <a:schemeClr val="accent6">
                <a:lumMod val="50000"/>
              </a:schemeClr>
            </a:solidFill>
          </a:endParaRPr>
        </a:p>
      </xdr:txBody>
    </xdr:sp>
    <xdr:clientData/>
  </xdr:twoCellAnchor>
  <xdr:twoCellAnchor editAs="absolute">
    <xdr:from>
      <xdr:col>0</xdr:col>
      <xdr:colOff>286693</xdr:colOff>
      <xdr:row>0</xdr:row>
      <xdr:rowOff>128258</xdr:rowOff>
    </xdr:from>
    <xdr:to>
      <xdr:col>1</xdr:col>
      <xdr:colOff>347049</xdr:colOff>
      <xdr:row>4</xdr:row>
      <xdr:rowOff>98080</xdr:rowOff>
    </xdr:to>
    <xdr:pic>
      <xdr:nvPicPr>
        <xdr:cNvPr id="15" name="Picture 14">
          <a:extLst>
            <a:ext uri="{FF2B5EF4-FFF2-40B4-BE49-F238E27FC236}">
              <a16:creationId xmlns:a16="http://schemas.microsoft.com/office/drawing/2014/main" id="{72C62459-3E0E-6DA7-D22C-2741C515DF7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86693" y="128258"/>
          <a:ext cx="671465" cy="694099"/>
        </a:xfrm>
        <a:prstGeom prst="rect">
          <a:avLst/>
        </a:prstGeom>
      </xdr:spPr>
    </xdr:pic>
    <xdr:clientData/>
  </xdr:twoCellAnchor>
  <xdr:twoCellAnchor editAs="absolute">
    <xdr:from>
      <xdr:col>20</xdr:col>
      <xdr:colOff>354595</xdr:colOff>
      <xdr:row>9</xdr:row>
      <xdr:rowOff>165980</xdr:rowOff>
    </xdr:from>
    <xdr:to>
      <xdr:col>22</xdr:col>
      <xdr:colOff>500377</xdr:colOff>
      <xdr:row>21</xdr:row>
      <xdr:rowOff>82991</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C1495EB7-1DDD-4AB6-A94D-8A2E923189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576773" y="1795604"/>
              <a:ext cx="1368000" cy="2089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20</xdr:col>
      <xdr:colOff>294239</xdr:colOff>
      <xdr:row>1</xdr:row>
      <xdr:rowOff>30177</xdr:rowOff>
    </xdr:from>
    <xdr:to>
      <xdr:col>22</xdr:col>
      <xdr:colOff>512021</xdr:colOff>
      <xdr:row>9</xdr:row>
      <xdr:rowOff>21622</xdr:rowOff>
    </xdr:to>
    <mc:AlternateContent xmlns:mc="http://schemas.openxmlformats.org/markup-compatibility/2006">
      <mc:Choice xmlns:tsle="http://schemas.microsoft.com/office/drawing/2012/timeslicer" Requires="tsle">
        <xdr:graphicFrame macro="">
          <xdr:nvGraphicFramePr>
            <xdr:cNvPr id="18" name="Order_Date">
              <a:extLst>
                <a:ext uri="{FF2B5EF4-FFF2-40B4-BE49-F238E27FC236}">
                  <a16:creationId xmlns:a16="http://schemas.microsoft.com/office/drawing/2014/main" id="{08F96DE8-FE3E-4A35-A67F-C9BE04DB592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516417" y="211246"/>
              <a:ext cx="1440000" cy="144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1.978113888887" backgroundQuery="1" createdVersion="8" refreshedVersion="8" minRefreshableVersion="3" recordCount="0" supportSubquery="1" supportAdvancedDrill="1" xr:uid="{73E47F7C-39FB-48CC-8AC7-BD0562F7E704}">
  <cacheSource type="external" connectionId="9"/>
  <cacheFields count="1">
    <cacheField name="[Measures].[Average of Revenue]" caption="Average of Revenue" numFmtId="0" hierarchy="45" level="32767"/>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4.769230787038" backgroundQuery="1" createdVersion="8" refreshedVersion="8" minRefreshableVersion="3" recordCount="0" supportSubquery="1" supportAdvancedDrill="1" xr:uid="{0CE2C755-2FFB-44CD-A507-B05D591D7777}">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rder_Time].[Order_Time]" caption="Order_Time" numFmtId="0" hierarchy="19"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3"/>
      </fieldsUsage>
    </cacheHierarchy>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 b/w_order_delivery]" caption="diff b/w_order_delivery" attribute="1" defaultMemberUniqueName="[Orders].[diff b/w_order_delivery].[All]" allUniqueName="[Orders].[diff b/w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4.769289004631" backgroundQuery="1" createdVersion="8" refreshedVersion="8" minRefreshableVersion="3" recordCount="0" supportSubquery="1" supportAdvancedDrill="1" xr:uid="{7BCB1A40-6CF6-4642-AC8C-C5CB9AEAFFEC}">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rder_Time].[Order_Time]" caption="Order_Time" numFmtId="0" hierarchy="19" level="1">
      <sharedItems containsSemiMixedTypes="0" containsNonDate="0" containsString="0"/>
    </cacheField>
    <cacheField name="[Products].[Category].[Category]" caption="Category" numFmtId="0" hierarchy="3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2"/>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4.769289351854" backgroundQuery="1" createdVersion="8" refreshedVersion="8" minRefreshableVersion="3" recordCount="0" supportSubquery="1" supportAdvancedDrill="1" xr:uid="{66463408-B677-4652-893B-5641C0B788B9}">
  <cacheSource type="external" connectionId="9"/>
  <cacheFields count="5">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 name="[Orders].[Order_Time].[Order_Time]" caption="Order_Time" numFmtId="0" hierarchy="19" level="1">
      <sharedItems containsSemiMixedTypes="0" containsNonDate="0" containsString="0"/>
    </cacheField>
    <cacheField name="[Products].[Category].[Category]" caption="Category" numFmtId="0" hierarchy="3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3"/>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4.769289699077" backgroundQuery="1" createdVersion="8" refreshedVersion="8" minRefreshableVersion="3" recordCount="0" supportSubquery="1" supportAdvancedDrill="1" xr:uid="{423DA943-19A5-4AE8-ACC2-4E36FC0DED41}">
  <cacheSource type="external" connectionId="9"/>
  <cacheFields count="6">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Day Name(Order Date)].[Day Name(Order Date)]" caption="Day Name(Order Date)" numFmtId="0" hierarchy="30" level="1">
      <sharedItems count="7">
        <s v="Friday"/>
        <s v="Monday"/>
        <s v="Saturday"/>
        <s v="Sunday"/>
        <s v="Thursday"/>
        <s v="Tuesday"/>
        <s v="Wednesday"/>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rder_Time].[Order_Time]" caption="Order_Time" numFmtId="0" hierarchy="19" level="1">
      <sharedItems containsSemiMixedTypes="0" containsNonDate="0" containsString="0"/>
    </cacheField>
    <cacheField name="[Products].[Category].[Category]" caption="Category" numFmtId="0" hierarchy="3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4"/>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5"/>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4.769289699077" backgroundQuery="1" createdVersion="8" refreshedVersion="8" minRefreshableVersion="3" recordCount="0" supportSubquery="1" supportAdvancedDrill="1" xr:uid="{5F3C9C1C-CD40-4C49-B4B8-2D51CAFF6659}">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Average of Revenue]" caption="Average of Revenue" numFmtId="0" hierarchy="45" level="32767"/>
    <cacheField name="[Orders].[Order_Time].[Order_Time]" caption="Order_Time" numFmtId="0" hierarchy="19" level="1">
      <sharedItems containsSemiMixedTypes="0" containsNonDate="0" containsString="0"/>
    </cacheField>
    <cacheField name="[Products].[Category].[Category]" caption="Category" numFmtId="0" hierarchy="3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2"/>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4.769289814816" backgroundQuery="1" createdVersion="8" refreshedVersion="8" minRefreshableVersion="3" recordCount="0" supportSubquery="1" supportAdvancedDrill="1" xr:uid="{6555F2EB-9448-4154-97C7-7F4D51210345}">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Count of Order_ID]" caption="Count of Order_ID" numFmtId="0" hierarchy="47" level="32767"/>
    <cacheField name="[Orders].[Order_Time].[Order_Time]" caption="Order_Time" numFmtId="0" hierarchy="19" level="1">
      <sharedItems containsSemiMixedTypes="0" containsNonDate="0" containsString="0"/>
    </cacheField>
    <cacheField name="[Products].[Category].[Category]" caption="Category" numFmtId="0" hierarchy="3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2"/>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4.769290277778" backgroundQuery="1" createdVersion="8" refreshedVersion="8" minRefreshableVersion="3" recordCount="0" supportSubquery="1" supportAdvancedDrill="1" xr:uid="{77B83751-89DB-4E5A-A12E-3BE959698088}">
  <cacheSource type="external" connectionId="9"/>
  <cacheFields count="5">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rder_Time].[Order_Time]" caption="Order_Time" numFmtId="0" hierarchy="19" level="1">
      <sharedItems containsSemiMixedTypes="0" containsNonDate="0" containsString="0"/>
    </cacheField>
    <cacheField name="[Products].[Category].[Category]" caption="Category" numFmtId="0" hierarchy="3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3"/>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4.769290277778" backgroundQuery="1" createdVersion="8" refreshedVersion="8" minRefreshableVersion="3" recordCount="0" supportSubquery="1" supportAdvancedDrill="1" xr:uid="{F067EB0E-F1CE-42D1-A45F-D7B992F3402F}">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2" level="32767"/>
    <cacheField name="[Orders].[Order_Time].[Order_Time]" caption="Order_Time" numFmtId="0" hierarchy="19" level="1">
      <sharedItems containsSemiMixedTypes="0" containsNonDate="0" containsString="0"/>
    </cacheField>
    <cacheField name="[Products].[Category].[Category]" caption="Category" numFmtId="0" hierarchy="3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2"/>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4.769290277778" backgroundQuery="1" createdVersion="8" refreshedVersion="8" minRefreshableVersion="3" recordCount="0" supportSubquery="1" supportAdvancedDrill="1" xr:uid="{A4035A1D-D672-45F2-81A4-A1C627DE55BF}">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Average of diff b/w_order_delivery]" caption="Average of diff b/w_order_delivery" numFmtId="0" hierarchy="44" level="32767"/>
    <cacheField name="[Orders].[Order_Time].[Order_Time]" caption="Order_Time" numFmtId="0" hierarchy="19" level="1">
      <sharedItems containsSemiMixedTypes="0" containsNonDate="0" containsString="0"/>
    </cacheField>
    <cacheField name="[Products].[Category].[Category]" caption="Category" numFmtId="0" hierarchy="3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2"/>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4.76929074074" backgroundQuery="1" createdVersion="8" refreshedVersion="8" minRefreshableVersion="3" recordCount="0" supportSubquery="1" supportAdvancedDrill="1" xr:uid="{D963BCA5-E77B-4AE5-B995-83128306E20C}">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 name="[Orders].[Order_Time].[Order_Time]" caption="Order_Time" numFmtId="0" hierarchy="19" level="1">
      <sharedItems containsSemiMixedTypes="0" containsNonDate="0" containsString="0"/>
    </cacheField>
    <cacheField name="[Products].[Category].[Category]" caption="Category" numFmtId="0" hierarchy="3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3"/>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1.825993287035" backgroundQuery="1" createdVersion="3" refreshedVersion="8" minRefreshableVersion="3" recordCount="0" supportSubquery="1" supportAdvancedDrill="1" xr:uid="{1394F1B0-06F4-45D6-8235-067A78D5187D}">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06452963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2.006576504631" backgroundQuery="1" createdVersion="3" refreshedVersion="8" minRefreshableVersion="3" recordCount="0" supportSubquery="1" supportAdvancedDrill="1" xr:uid="{988D7B5B-F923-4BAF-9908-D98BEB2C74A2}">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pivotCacheId="124604252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B912E2-2DD8-477E-B7F9-E95715EB04F2}" name="PivotTable9" cacheId="303" applyNumberFormats="0" applyBorderFormats="0" applyFontFormats="0" applyPatternFormats="0" applyAlignmentFormats="0" applyWidthHeightFormats="1" dataCaption="Values" tag="43aff8c0-be5c-4cec-b2c9-e1d1a242df7f" updatedVersion="8" minRefreshableVersion="5" useAutoFormatting="1" subtotalHiddenItems="1" itemPrintTitles="1" createdVersion="8" indent="0" outline="1" outlineData="1" multipleFieldFilters="0" chartFormat="14">
  <location ref="D14:E25" firstHeaderRow="1" firstDataRow="1" firstDataCol="1"/>
  <pivotFields count="5">
    <pivotField allDrilled="1" subtotalTop="0" showAll="0" sortType="ascending" defaultSubtotal="0" defaultAttributeDrillState="1">
      <items count="12">
        <item x="3"/>
        <item x="7"/>
        <item x="0"/>
        <item x="8"/>
        <item x="6"/>
        <item x="5"/>
        <item x="1"/>
        <item x="11"/>
        <item x="10"/>
        <item x="9"/>
        <item x="2"/>
        <item n=" "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13" format="5"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3" type="dateBetween" evalOrder="-1" id="10" name="[Orders].[Order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 fld="1"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8AE57E-B4F0-417A-9DCB-E592E8B09594}" name="PivotTable4" cacheId="0" applyNumberFormats="0" applyBorderFormats="0" applyFontFormats="0" applyPatternFormats="0" applyAlignmentFormats="0" applyWidthHeightFormats="1" dataCaption="Values" tag="3a189754-036b-4e1b-9b6e-47e0cbe3c6c4" updatedVersion="8" minRefreshableVersion="3" useAutoFormatting="1" subtotalHiddenItems="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 b/w_order_delivery"/>
    <pivotHierarchy dragToData="1" caption="Average of customer spending"/>
    <pivotHierarchy dragToData="1"/>
    <pivotHierarchy dragToData="1" caption="Total Order Place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65330A-B14A-446B-A790-6A8E72018C36}" name="PivotTable6" cacheId="297" applyNumberFormats="0" applyBorderFormats="0" applyFontFormats="0" applyPatternFormats="0" applyAlignmentFormats="0" applyWidthHeightFormats="1" dataCaption="Values" tag="8d5495d0-5c3f-4055-ac72-6969ee4fef54" updatedVersion="8" minRefreshableVersion="5" useAutoFormatting="1" subtotalHiddenItems="1" itemPrintTitles="1" createdVersion="8" indent="0" outline="1" outlineData="1" multipleFieldFilters="0" chartFormat="7">
  <location ref="A42:A43" firstHeaderRow="1" firstDataRow="1" firstDataCol="0"/>
  <pivotFields count="4">
    <pivotField allDrilled="1" subtotalTop="0" showAll="0" sortType="ascending" defaultSubtotal="0" defaultAttributeDrillState="1">
      <items count="12">
        <item x="3"/>
        <item x="7"/>
        <item x="0"/>
        <item x="8"/>
        <item x="6"/>
        <item x="5"/>
        <item x="1"/>
        <item x="11"/>
        <item x="10"/>
        <item x="9"/>
        <item x="2"/>
        <item n=" "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2" type="dateBetween" evalOrder="-1" id="9" name="[Orders].[Order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7F01D0-FA18-46DD-9F8C-0D64EA00AC69}" name="PivotTable1" cacheId="279" applyNumberFormats="0" applyBorderFormats="0" applyFontFormats="0" applyPatternFormats="0" applyAlignmentFormats="0" applyWidthHeightFormats="1" dataCaption="Values" tag="b6ef158e-3783-409d-8f10-d33d627a62d7" updatedVersion="8" minRefreshableVersion="5" useAutoFormatting="1" subtotalHiddenItems="1" itemPrintTitles="1" createdVersion="8" indent="0" outline="1" outlineData="1" multipleFieldFilters="0" chartFormat="26">
  <location ref="A1:B14" firstHeaderRow="1" firstDataRow="1" firstDataCol="1"/>
  <pivotFields count="4">
    <pivotField dataField="1" subtotalTop="0" showAll="0" defaultSubtotal="0"/>
    <pivotField axis="axisRow" allDrilled="1" subtotalTop="0" showAll="0" sortType="ascending" defaultSubtotal="0" defaultAttributeDrillState="1">
      <items count="12">
        <item x="3"/>
        <item x="7"/>
        <item x="0"/>
        <item x="8"/>
        <item x="6"/>
        <item x="5"/>
        <item x="1"/>
        <item x="11"/>
        <item x="10"/>
        <item x="9"/>
        <item x="2"/>
        <item n=" "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0"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9" name="[Orders].[Order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65DF36-F7D7-4D52-9317-7396B8676A63}" name="PivotTable13" cacheId="288" applyNumberFormats="0" applyBorderFormats="0" applyFontFormats="0" applyPatternFormats="0" applyAlignmentFormats="0" applyWidthHeightFormats="1" dataCaption="Values" tag="8d5495d0-5c3f-4055-ac72-6969ee4fef54" updatedVersion="8" minRefreshableVersion="5" useAutoFormatting="1" subtotalHiddenItems="1" itemPrintTitles="1" createdVersion="8" indent="0" outline="1" outlineData="1" multipleFieldFilters="0" chartFormat="7">
  <location ref="A48:A49" firstHeaderRow="1" firstDataRow="1" firstDataCol="0"/>
  <pivotFields count="4">
    <pivotField allDrilled="1" subtotalTop="0" showAll="0" sortType="ascending" defaultSubtotal="0" defaultAttributeDrillState="1">
      <items count="12">
        <item x="3"/>
        <item x="7"/>
        <item x="0"/>
        <item x="8"/>
        <item x="6"/>
        <item x="5"/>
        <item x="1"/>
        <item x="11"/>
        <item x="10"/>
        <item x="9"/>
        <item x="2"/>
        <item n=" "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evenue" fld="1"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 b/w_order_delivery"/>
    <pivotHierarchy dragToData="1" caption="Average of Revenue"/>
    <pivotHierarchy dragToData="1"/>
    <pivotHierarchy dragToData="1" caption="Count of Order_ID"/>
    <pivotHierarchy dragToData="1"/>
  </pivotHierarchies>
  <pivotTableStyleInfo name="PivotStyleLight16" showRowHeaders="1" showColHeaders="1" showRowStripes="0" showColStripes="0" showLastColumn="1"/>
  <filters count="1">
    <filter fld="2" type="dateBetween" evalOrder="-1" id="9" name="[Orders].[Order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4C7F61-635C-4797-A7CB-3DA35DDC586E}" name="PivotTable5" cacheId="294" applyNumberFormats="0" applyBorderFormats="0" applyFontFormats="0" applyPatternFormats="0" applyAlignmentFormats="0" applyWidthHeightFormats="1" dataCaption="Values" tag="debcf9e1-bebc-4b34-a0b0-6c0c9f4cc68b" updatedVersion="8" minRefreshableVersion="5" useAutoFormatting="1" subtotalHiddenItems="1" itemPrintTitles="1" createdVersion="8" indent="0" outline="1" outlineData="1" multipleFieldFilters="0" chartFormat="23">
  <location ref="D5:E11" firstHeaderRow="1" firstDataRow="1" firstDataCol="1"/>
  <pivotFields count="5">
    <pivotField dataField="1" subtotalTop="0" showAll="0" defaultSubtotal="0"/>
    <pivotField allDrilled="1" subtotalTop="0" showAll="0" sortType="ascending" defaultSubtotal="0" defaultAttributeDrillState="1">
      <items count="12">
        <item x="3"/>
        <item x="7"/>
        <item x="0"/>
        <item x="8"/>
        <item x="6"/>
        <item x="5"/>
        <item x="1"/>
        <item x="11"/>
        <item x="10"/>
        <item x="9"/>
        <item x="2"/>
        <item n=" " x="4"/>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18"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0" name="[Orders].[Order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 fld="2"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E12ADD-C920-40AB-95DC-E3969AD06000}" name="PivotTable3" cacheId="291" applyNumberFormats="0" applyBorderFormats="0" applyFontFormats="0" applyPatternFormats="0" applyAlignmentFormats="0" applyWidthHeightFormats="1" dataCaption="Values" tag="8d5495d0-5c3f-4055-ac72-6969ee4fef54" updatedVersion="8" minRefreshableVersion="5" useAutoFormatting="1" subtotalHiddenItems="1" itemPrintTitles="1" createdVersion="8" indent="0" outline="1" outlineData="1" multipleFieldFilters="0" chartFormat="7">
  <location ref="A39:A40" firstHeaderRow="1" firstDataRow="1" firstDataCol="0"/>
  <pivotFields count="4">
    <pivotField allDrilled="1" subtotalTop="0" showAll="0" sortType="ascending" defaultSubtotal="0" defaultAttributeDrillState="1">
      <items count="12">
        <item x="3"/>
        <item x="7"/>
        <item x="0"/>
        <item x="8"/>
        <item x="6"/>
        <item x="5"/>
        <item x="1"/>
        <item x="11"/>
        <item x="10"/>
        <item x="9"/>
        <item x="2"/>
        <item n=" "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1"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2" type="dateBetween" evalOrder="-1" id="9" name="[Orders].[Order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736E3F-E0B1-4B68-9E62-9BE9D94E0907}" name="PivotTable8" cacheId="228" applyNumberFormats="0" applyBorderFormats="0" applyFontFormats="0" applyPatternFormats="0" applyAlignmentFormats="0" applyWidthHeightFormats="1" dataCaption="Values" tag="47d8ed76-7f4f-499c-9131-7b5cd1c92024" updatedVersion="8" minRefreshableVersion="5" useAutoFormatting="1" subtotalHiddenItems="1" itemPrintTitles="1" createdVersion="8" indent="0" outline="1" outlineData="1" multipleFieldFilters="0" chartFormat="7">
  <location ref="A17:B25" firstHeaderRow="1" firstDataRow="1" firstDataCol="1"/>
  <pivotFields count="4">
    <pivotField dataField="1" subtotalTop="0" showAll="0" defaultSubtotal="0"/>
    <pivotField allDrilled="1" subtotalTop="0" showAll="0" sortType="ascending" defaultSubtotal="0" defaultAttributeDrillState="1">
      <items count="12">
        <item x="3"/>
        <item x="7"/>
        <item x="0"/>
        <item x="8"/>
        <item x="6"/>
        <item x="5"/>
        <item x="1"/>
        <item x="11"/>
        <item x="10"/>
        <item x="9"/>
        <item x="2"/>
        <item n=" "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Equal" evalOrder="-1" id="14" name="[Orders].[Order_Time]">
      <autoFilter ref="A1">
        <filterColumn colId="0">
          <customFilters>
            <customFilter val="290"/>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020433-060D-4B59-B30B-627841A30BE6}" name="PivotTable7" cacheId="300" applyNumberFormats="0" applyBorderFormats="0" applyFontFormats="0" applyPatternFormats="0" applyAlignmentFormats="0" applyWidthHeightFormats="1" dataCaption="Values" tag="8d5495d0-5c3f-4055-ac72-6969ee4fef54" updatedVersion="8" minRefreshableVersion="5" useAutoFormatting="1" subtotalHiddenItems="1" itemPrintTitles="1" createdVersion="8" indent="0" outline="1" outlineData="1" multipleFieldFilters="0" chartFormat="7">
  <location ref="A45:A46" firstHeaderRow="1" firstDataRow="1" firstDataCol="0"/>
  <pivotFields count="4">
    <pivotField allDrilled="1" subtotalTop="0" showAll="0" sortType="ascending" defaultSubtotal="0" defaultAttributeDrillState="1">
      <items count="12">
        <item x="3"/>
        <item x="7"/>
        <item x="0"/>
        <item x="8"/>
        <item x="6"/>
        <item x="5"/>
        <item x="1"/>
        <item x="11"/>
        <item x="10"/>
        <item x="9"/>
        <item x="2"/>
        <item n=" "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iff b/w_order_delivery" fld="1"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 b/w_order_delivery"/>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2" type="dateBetween" evalOrder="-1" id="9" name="[Orders].[Order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D1ABCB-2A7E-4B7E-8CED-788C220B7E92}" name="PivotTable10" cacheId="282" applyNumberFormats="0" applyBorderFormats="0" applyFontFormats="0" applyPatternFormats="0" applyAlignmentFormats="0" applyWidthHeightFormats="1" dataCaption="Values" tag="8d5495d0-5c3f-4055-ac72-6969ee4fef54" updatedVersion="8" minRefreshableVersion="5" useAutoFormatting="1" subtotalHiddenItems="1" itemPrintTitles="1" createdVersion="8" indent="0" outline="1" outlineData="1" multipleFieldFilters="0" chartFormat="7">
  <location ref="A28:B36" firstHeaderRow="1" firstDataRow="1" firstDataCol="1"/>
  <pivotFields count="5">
    <pivotField dataField="1" subtotalTop="0" showAll="0" defaultSubtotal="0"/>
    <pivotField allDrilled="1" subtotalTop="0" showAll="0" sortType="ascending" defaultSubtotal="0" defaultAttributeDrillState="1">
      <items count="12">
        <item x="3"/>
        <item x="7"/>
        <item x="0"/>
        <item x="8"/>
        <item x="6"/>
        <item x="5"/>
        <item x="1"/>
        <item x="11"/>
        <item x="10"/>
        <item x="9"/>
        <item x="2"/>
        <item n=" "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9" name="[Orders].[Order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8586412-E20E-4AC9-9C8C-F02FF367C0F2}" name="PivotTable11" cacheId="285" applyNumberFormats="0" applyBorderFormats="0" applyFontFormats="0" applyPatternFormats="0" applyAlignmentFormats="0" applyWidthHeightFormats="1" dataCaption="Values" tag="333a0841-2ba7-42d7-aa23-d24f1be795fd" updatedVersion="8" minRefreshableVersion="5" useAutoFormatting="1" subtotalHiddenItems="1" itemPrintTitles="1" createdVersion="8" indent="0" outline="1" outlineData="1" multipleFieldFilters="0" chartFormat="15">
  <location ref="D28:E53" firstHeaderRow="1" firstDataRow="1" firstDataCol="1"/>
  <pivotFields count="6">
    <pivotField dataField="1" subtotalTop="0" showAll="0" defaultSubtotal="0"/>
    <pivotField allDrilled="1" subtotalTop="0" showAll="0" sortType="ascending" defaultSubtotal="0" defaultAttributeDrillState="1">
      <items count="12">
        <item x="3"/>
        <item x="7"/>
        <item x="0"/>
        <item x="8"/>
        <item x="6"/>
        <item x="5"/>
        <item x="1"/>
        <item x="11"/>
        <item x="10"/>
        <item x="9"/>
        <item x="2"/>
        <item n=" " x="4"/>
      </items>
    </pivotField>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1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9" name="[Orders].[Order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3882AE3-CF5A-472C-85F0-9B8A52D7631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F5AB923-5B40-42BE-BA45-C30D196764B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313999CE-8DE9-41F4-BDBA-5F120EA8D175}"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 b/w_order_delivery" tableColumnId="13"/>
      <queryTableField id="14" name="Hour(Delivery time)" tableColumnId="14"/>
      <queryTableField id="15" name="Price (INR)" tableColumnId="15"/>
      <queryTableField id="16" name="Revenue" tableColumnId="16"/>
      <queryTableField id="19" name="Day Name(Order Date)"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2648073F-92EF-450E-AA81-C29CFCE05B7B}"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F7C2337-2D39-4B18-BCAB-D80829454A46}" sourceName="[Orders].[Occasion]">
  <pivotTables>
    <pivotTable tabId="1" name="PivotTable5"/>
    <pivotTable tabId="1" name="PivotTable1"/>
    <pivotTable tabId="1" name="PivotTable11"/>
    <pivotTable tabId="1" name="PivotTable8"/>
    <pivotTable tabId="1" name="PivotTable9"/>
    <pivotTable tabId="1" name="PivotTable13"/>
    <pivotTable tabId="1" name="PivotTable3"/>
    <pivotTable tabId="1" name="PivotTable6"/>
    <pivotTable tabId="1" name="PivotTable7"/>
  </pivotTables>
  <data>
    <olap pivotCacheId="106452963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BDD002-9116-43C5-90EE-DC55CA858CC6}" sourceName="[Products].[Category]">
  <pivotTables>
    <pivotTable tabId="1" name="PivotTable1"/>
    <pivotTable tabId="1" name="PivotTable10"/>
    <pivotTable tabId="1" name="PivotTable11"/>
    <pivotTable tabId="1" name="PivotTable13"/>
    <pivotTable tabId="1" name="PivotTable3"/>
    <pivotTable tabId="1" name="PivotTable5"/>
    <pivotTable tabId="1" name="PivotTable6"/>
    <pivotTable tabId="1" name="PivotTable7"/>
    <pivotTable tabId="1" name="PivotTable9"/>
  </pivotTables>
  <data>
    <olap pivotCacheId="1064529639">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1C6E91B-E13B-4D8E-BBC2-948D60827F98}" cache="Slicer_Occasion" caption="Occasion" level="1" style="SlicerStyleLight6" rowHeight="252000"/>
  <slicer name="Category" xr10:uid="{D75D6F59-5C53-4890-99E9-61433109D3DC}" cache="Slicer_Category" caption="Category" level="1" style="SlicerStyleLight6"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657546-1C4C-4407-BD58-83618AF0CF96}" name="FNP_Datasets" displayName="FNP_Datasets" ref="A1:F4" tableType="queryTable" totalsRowShown="0">
  <autoFilter ref="A1:F4" xr:uid="{1F657546-1C4C-4407-BD58-83618AF0CF96}"/>
  <tableColumns count="6">
    <tableColumn id="1" xr3:uid="{2D284995-C435-4504-8EE1-12E2E1C82FD1}" uniqueName="1" name="Name" queryTableFieldId="1" dataDxfId="24"/>
    <tableColumn id="2" xr3:uid="{965A2938-507B-4ECF-9FFB-2DDE668DD609}" uniqueName="2" name="Extension" queryTableFieldId="2" dataDxfId="23"/>
    <tableColumn id="3" xr3:uid="{161947F6-70B2-40FD-8373-76016B18014F}" uniqueName="3" name="Date accessed" queryTableFieldId="3" dataDxfId="22"/>
    <tableColumn id="4" xr3:uid="{72F2A201-F5D6-4999-AC9C-CA51C7256D6F}" uniqueName="4" name="Date modified" queryTableFieldId="4" dataDxfId="21"/>
    <tableColumn id="5" xr3:uid="{E8D1E5A8-29C2-464E-9523-89DBC3B91650}" uniqueName="5" name="Date created" queryTableFieldId="5" dataDxfId="20"/>
    <tableColumn id="6" xr3:uid="{DEEF1961-00DA-4972-8401-79A2805667C5}" uniqueName="6" name="Folder Path" queryTableFieldId="6" dataDxfId="19"/>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C42646-706C-44A3-878C-AA515C4C7B71}" name="Customer" displayName="Customer" ref="A1:G101" tableType="queryTable" totalsRowShown="0">
  <autoFilter ref="A1:G101" xr:uid="{C9C42646-706C-44A3-878C-AA515C4C7B71}"/>
  <tableColumns count="7">
    <tableColumn id="1" xr3:uid="{8EAD6674-3397-4D30-9163-219D58071C50}" uniqueName="1" name="Customer_ID" queryTableFieldId="1" dataDxfId="18"/>
    <tableColumn id="2" xr3:uid="{48FF6BE2-BAF9-4553-81F8-F81FCF8C85B1}" uniqueName="2" name="Name" queryTableFieldId="2" dataDxfId="17"/>
    <tableColumn id="3" xr3:uid="{AA7C31B6-A294-48B3-AF1C-7A8D1AE8BF9D}" uniqueName="3" name="City" queryTableFieldId="3" dataDxfId="16"/>
    <tableColumn id="4" xr3:uid="{07FC4F89-CBC3-415B-978F-BA91E94D2C52}" uniqueName="4" name="Contact_Number" queryTableFieldId="4" dataDxfId="15"/>
    <tableColumn id="5" xr3:uid="{3FD5B1B2-EDD4-432F-A84D-7B886CC682B4}" uniqueName="5" name="Email" queryTableFieldId="5" dataDxfId="14"/>
    <tableColumn id="6" xr3:uid="{C39D96DC-2C88-4CD3-80E5-C282D00DA2DE}" uniqueName="6" name="Gender" queryTableFieldId="6" dataDxfId="13"/>
    <tableColumn id="7" xr3:uid="{4589F815-7A3E-4043-BED3-6FC8716A69BC}"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D2B460-4BA4-40C3-853D-96A765440628}" name="Orders" displayName="Orders" ref="A1:Q1001" tableType="queryTable" totalsRowShown="0">
  <autoFilter ref="A1:Q1001" xr:uid="{26D2B460-4BA4-40C3-853D-96A765440628}"/>
  <tableColumns count="17">
    <tableColumn id="1" xr3:uid="{81832A99-047B-4F5B-808D-C2C2EAE34C4F}" uniqueName="1" name="Order_ID" queryTableFieldId="1"/>
    <tableColumn id="2" xr3:uid="{BC0E39BF-A9EC-4439-9297-6DFDDD64274C}" uniqueName="2" name="Customer_ID" queryTableFieldId="2" dataDxfId="11"/>
    <tableColumn id="3" xr3:uid="{BFB5C744-AA58-401C-B2E1-705ADCFE2342}" uniqueName="3" name="Product_ID" queryTableFieldId="3"/>
    <tableColumn id="4" xr3:uid="{556C3170-D877-4785-8893-C9AAAB4C9DFF}" uniqueName="4" name="Quantity" queryTableFieldId="4"/>
    <tableColumn id="5" xr3:uid="{EBCBB262-03A3-40A7-A2DD-C19958E08A35}" uniqueName="5" name="Order_Date" queryTableFieldId="5" dataDxfId="10"/>
    <tableColumn id="6" xr3:uid="{25F766C2-4FF7-4440-AB7D-561977D6913D}" uniqueName="6" name="Order_Time" queryTableFieldId="6" dataDxfId="9"/>
    <tableColumn id="7" xr3:uid="{B3C62BC4-EB21-4E3C-B5F2-3BC03DDB6E9C}" uniqueName="7" name="Delivery_Date" queryTableFieldId="7" dataDxfId="8"/>
    <tableColumn id="8" xr3:uid="{72EDD203-E251-48A7-9457-6B361405F1EE}" uniqueName="8" name="Delivery_Time" queryTableFieldId="8" dataDxfId="7"/>
    <tableColumn id="9" xr3:uid="{2028D179-D953-4BA9-A025-2EEBD98C3DE2}" uniqueName="9" name="Location" queryTableFieldId="9" dataDxfId="6"/>
    <tableColumn id="10" xr3:uid="{9FFA6985-C36A-40CA-A88C-DEA1BBCB9143}" uniqueName="10" name="Occasion" queryTableFieldId="10" dataDxfId="5"/>
    <tableColumn id="11" xr3:uid="{9F684096-4C15-41F6-9281-5232F54BE0D1}" uniqueName="11" name="Month Name" queryTableFieldId="11" dataDxfId="4"/>
    <tableColumn id="12" xr3:uid="{2380584A-8C82-4722-A0C2-750CA1EA99BA}" uniqueName="12" name="Hour(Order time)" queryTableFieldId="12"/>
    <tableColumn id="13" xr3:uid="{D7567DF9-339F-47B5-9E8E-67DC06D9B78A}" uniqueName="13" name="diff b/w_order_delivery" queryTableFieldId="13"/>
    <tableColumn id="14" xr3:uid="{7CE9A33F-995F-464C-A3FF-DC810F5B649D}" uniqueName="14" name="Hour(Delivery time)" queryTableFieldId="14"/>
    <tableColumn id="15" xr3:uid="{FA9CFEBC-EB65-456F-A46A-F932B6F177CD}" uniqueName="15" name="Price (INR)" queryTableFieldId="15"/>
    <tableColumn id="16" xr3:uid="{096A80DE-2813-44DB-BF0C-6A489970C974}" uniqueName="16" name="Revenue" queryTableFieldId="16"/>
    <tableColumn id="19" xr3:uid="{BBD26B50-8121-4CE9-81DC-BBAFF63ABCC6}" uniqueName="19" name="Day Name(Order Date)"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361891-D036-40C6-B4A2-795A6A2FD26D}" name="Products" displayName="Products" ref="A1:F71" tableType="queryTable" totalsRowShown="0">
  <autoFilter ref="A1:F71" xr:uid="{92361891-D036-40C6-B4A2-795A6A2FD26D}"/>
  <tableColumns count="6">
    <tableColumn id="1" xr3:uid="{9E5C1A60-12C8-4939-A1ED-8D648BEE0D01}" uniqueName="1" name="Product_ID" queryTableFieldId="1"/>
    <tableColumn id="2" xr3:uid="{327A725F-117F-4899-80D8-74A58539A3D1}" uniqueName="2" name="Product_Name" queryTableFieldId="2" dataDxfId="3"/>
    <tableColumn id="3" xr3:uid="{63C48D38-AD52-4515-AE72-C1EE95DD0DCD}" uniqueName="3" name="Category" queryTableFieldId="3" dataDxfId="2"/>
    <tableColumn id="4" xr3:uid="{50C18E9C-782A-482A-B46E-64D2474F973E}" uniqueName="4" name="Price (INR)" queryTableFieldId="4"/>
    <tableColumn id="5" xr3:uid="{094A408C-4BB0-4C15-8C13-FBB8C47A57B8}" uniqueName="5" name="Occasion" queryTableFieldId="5" dataDxfId="1"/>
    <tableColumn id="6" xr3:uid="{BECE8957-B6F4-4B01-B176-B5290F9837A4}"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8A625A7-D364-4E1E-8B70-9EBD3ED837CB}" sourceName="[Orders].[Order_Date]">
  <pivotTables>
    <pivotTable tabId="1" name="PivotTable8"/>
    <pivotTable tabId="1" name="PivotTable10"/>
    <pivotTable tabId="1" name="PivotTable11"/>
    <pivotTable tabId="1" name="PivotTable13"/>
    <pivotTable tabId="1" name="PivotTable3"/>
    <pivotTable tabId="1" name="PivotTable5"/>
    <pivotTable tabId="1" name="PivotTable6"/>
    <pivotTable tabId="1" name="PivotTable9"/>
  </pivotTables>
  <state minimalRefreshVersion="6" lastRefreshVersion="6" pivotCacheId="1246042520"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E615DDA-095C-4F16-A6E9-86C0042B178A}" cache="Timeline_Order_Date" caption="Order_Date" level="2" selectionLevel="2" scrollPosition="2023-01-18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6F31C-9310-4018-A613-181FAAE96F6F}">
  <dimension ref="A1:F4"/>
  <sheetViews>
    <sheetView workbookViewId="0">
      <selection activeCell="F22" sqref="F22"/>
    </sheetView>
  </sheetViews>
  <sheetFormatPr defaultRowHeight="14.4" x14ac:dyDescent="0.3"/>
  <cols>
    <col min="1" max="1" width="12.5546875" bestFit="1" customWidth="1"/>
    <col min="2" max="2" width="11.33203125" bestFit="1" customWidth="1"/>
    <col min="3" max="5" width="15.44140625" bestFit="1" customWidth="1"/>
    <col min="6" max="6" width="58" bestFit="1" customWidth="1"/>
  </cols>
  <sheetData>
    <row r="1" spans="1:6" x14ac:dyDescent="0.3">
      <c r="A1" t="s">
        <v>0</v>
      </c>
      <c r="B1" t="s">
        <v>1</v>
      </c>
      <c r="C1" t="s">
        <v>2</v>
      </c>
      <c r="D1" t="s">
        <v>3</v>
      </c>
      <c r="E1" t="s">
        <v>4</v>
      </c>
      <c r="F1" t="s">
        <v>5</v>
      </c>
    </row>
    <row r="2" spans="1:6" x14ac:dyDescent="0.3">
      <c r="A2" t="s">
        <v>6</v>
      </c>
      <c r="B2" t="s">
        <v>7</v>
      </c>
      <c r="C2" s="1">
        <v>46061.744039043209</v>
      </c>
      <c r="D2" s="1">
        <v>46060.773863580245</v>
      </c>
      <c r="E2" s="1">
        <v>46060.773862461421</v>
      </c>
      <c r="F2" t="s">
        <v>8</v>
      </c>
    </row>
    <row r="3" spans="1:6" x14ac:dyDescent="0.3">
      <c r="A3" t="s">
        <v>9</v>
      </c>
      <c r="B3" t="s">
        <v>7</v>
      </c>
      <c r="C3" s="1">
        <v>46061.744380902775</v>
      </c>
      <c r="D3" s="1">
        <v>46060.773939506173</v>
      </c>
      <c r="E3" s="1">
        <v>46060.773938348764</v>
      </c>
      <c r="F3" t="s">
        <v>8</v>
      </c>
    </row>
    <row r="4" spans="1:6" x14ac:dyDescent="0.3">
      <c r="A4" t="s">
        <v>10</v>
      </c>
      <c r="B4" t="s">
        <v>7</v>
      </c>
      <c r="C4" s="1">
        <v>46061.744559220679</v>
      </c>
      <c r="D4" s="1">
        <v>46060.77400435957</v>
      </c>
      <c r="E4" s="1">
        <v>46060.774003240738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108D5-67D3-4B31-BAEC-467DF0D31350}">
  <dimension ref="A1:G101"/>
  <sheetViews>
    <sheetView workbookViewId="0">
      <selection activeCell="K13" sqref="K13"/>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93200-6097-4885-813F-38123E57A630}">
  <dimension ref="A1:Q1001"/>
  <sheetViews>
    <sheetView topLeftCell="B1" workbookViewId="0">
      <selection activeCell="G5" sqref="G5"/>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77734375" bestFit="1" customWidth="1"/>
    <col min="13" max="13" width="23.5546875" bestFit="1" customWidth="1"/>
    <col min="14" max="14" width="19.88671875" bestFit="1" customWidth="1"/>
    <col min="15" max="15" width="12.109375" bestFit="1" customWidth="1"/>
    <col min="16" max="16" width="10.5546875" bestFit="1" customWidth="1"/>
    <col min="17" max="17" width="22.5546875" bestFit="1" customWidth="1"/>
    <col min="18" max="18" width="21.77734375" bestFit="1" customWidth="1"/>
    <col min="19" max="19" width="6.441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1003</v>
      </c>
      <c r="Q1" t="s">
        <v>1004</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1005</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1006</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1007</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1005</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1008</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1005</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1005</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1008</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1008</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1005</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1005</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1005</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1009</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1009</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1009</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1010</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1006</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1005</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1006</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1005</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1008</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1008</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1005</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1008</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1006</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1008</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1010</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1011</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1007</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1010</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1007</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1005</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1005</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1005</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1009</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1006</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1006</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1007</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1008</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1005</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1009</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1006</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1005</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1008</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1009</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1010</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1008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1008</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1006</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1010</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1008</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1005</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1008</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1011</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1009</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1010</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1005</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1005</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1008</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1005</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1006</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1009</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1005</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1008</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1006</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1007</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1007</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1009</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1008</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1008</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1005</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1007</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1005</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1010</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1005</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1011</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1006</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1005</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1006</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1007</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1008</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1009</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1007</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1006</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1008</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1008</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1011</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1005</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1005</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1008</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1009</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1005</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1010</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1006</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1009</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1011</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1008</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1007</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1009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1011</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1009</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1008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1008</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1008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1009</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1009</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1005</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1009</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1007</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1006</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1010</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1008</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1008</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1007</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1011</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1011</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1008</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1008</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1008</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1006</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1009</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1006</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1005</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1009</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1009</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1007</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1009</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1007</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1009</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1011</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1008</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1007</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1010</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1010</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1008</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1008</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1010</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1008</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1008</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1010</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1009</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1011</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1011</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1011</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1008</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1010</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1005</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1008</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1008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1010</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1009</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1008</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1008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1009</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1010</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1008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1009</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1009</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1008</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1011</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1010</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1009</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1010</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1010</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1010</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1008</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1011</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1008</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1010</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1008</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1009</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1011</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1010</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1005</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1008</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1007</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1011</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1011</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1009</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1008</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1008</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1007</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1008</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1010</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1010</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1010</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1009</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1006</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1009</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1011</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1011</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1010</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1009</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1008</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1009</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1006</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1008</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1010</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1010</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1011</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1006</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1010</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1008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1009</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1005</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1007</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1010</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1007</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1006</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1007</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1007</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1005</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1009</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1008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1008</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1011</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1006</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1007</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1011</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1006</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1008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1006</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1010</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1009</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1008</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1006</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1008</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1011</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1011</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1008</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1011</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1005</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1011</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1010</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1010</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1006</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1005</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1010</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1008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1005</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1005</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1009</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1011</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1011</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1011</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1010</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1005</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1007</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1005</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1005</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1011</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1005</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1005</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1008</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1008</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1005</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1005</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1007</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1005</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1007</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1008</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1008</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1006</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1008</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1009</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1008</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1008</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1008</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1009</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1011</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1009</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1007</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1009</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1006</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1011</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1009</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1010</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1010</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1006</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1009</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1005</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1007</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1007</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1007</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1005</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1006</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1007</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1007</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1009</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1007</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1007</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1008</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1010</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1008</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1010</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1005</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1009</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1010</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1008</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1011</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1011</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1006</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1006</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1009</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1009</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1011</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1010</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1008</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1006</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1010</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1007</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1011</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1007</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1009</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1007</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1008</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1011</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1006</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1011</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1010</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1007</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1005</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1008</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1007</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1011</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1009</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1007</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1011</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1009</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1009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1011</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1007</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1006</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1008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1005</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1007</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1007</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1010</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1007</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1010</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1008</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1011</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1008</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1010</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1009</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1009</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1010</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1008</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1008</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1009</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1009</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1005</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1010</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1007</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1011</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1006</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1011</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1005</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1008</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1008</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1008</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1010</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1010</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1008</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1008</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1005</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1007</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1006</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1008</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1010</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1005</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1008</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1011</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1008</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1011</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1010</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1008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1009</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1011</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1008</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1011</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1010</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1005</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1005</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1010</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1006</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1010</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1010</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1006</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1009</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1010</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1008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1007</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1008</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1011</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1009</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1008</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1008</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1008</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1006</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1009</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1008</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1005</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1010</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1010</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1007</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1010</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1011</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1008</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1010</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1008</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1010</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1011</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1005</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1009</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1006</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1009</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1009</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1009</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1010</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1008</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1010</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1008</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1008</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1007</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1007</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1008</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1010</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1010</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1009</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1008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1006</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1008</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1009</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1009</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1010</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1007</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1008</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1008</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1007</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1006</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1007</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1009</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1010</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1010</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1009</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1006</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1010</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1006</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1010</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1009</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1010</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1007</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1006</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1011</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1007</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1005</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1009</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1007</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1011</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1009</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1010</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1008</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1010</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1006</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1008</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1005</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1010</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1009</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1010</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1009</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1007</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1010</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1005</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1008</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1010</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1008</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1010</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1007</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1009</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1007</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1005</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1007</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1008</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1009</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1005</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1008</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1006</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1009</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1011</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1010</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1010</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1008</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1005</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1009</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1010</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1009</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1009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1009</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1010</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1005</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1010</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1007</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1006</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1007</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1005</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1010</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1009</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1011</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1010</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1006</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1011</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1008</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1005</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1010</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1008</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1006</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1007</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1011</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1006</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1009</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1009</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1007</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1010</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1009</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1007</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1010</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1010</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1009</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1009</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1008</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1006</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1005</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1010</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1006</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1006</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1011</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1010</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1005</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1008</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1010</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1007</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1011</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1005</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1007</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1010</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1011</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1006</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1011</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1011</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1005</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1006</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1005</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1005</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1011</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1006</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1011</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1009</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1009</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1005</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1005</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1011</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1007</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1007</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1011</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1010</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1005</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1011</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1011</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1006</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1009</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1009</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1011</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1005</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1007</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1008</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1005</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1009</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1006</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1010</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1006</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1009</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1008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1011</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1008</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1007</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1009</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1008</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1011</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1011</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1005</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1011</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1007</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1006</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1008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1011</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1008</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1011</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1005</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1005</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1011</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1009</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1010</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1006</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1011</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1010</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1009</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1011</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1007</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1011</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1011</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1011</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1007</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1006</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1010</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1005</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1007</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1011</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1008</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1009</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1007</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1007</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1011</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1011</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1008</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1011</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1009</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1006</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1010</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1010</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1007</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1008</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1009</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1008</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1011</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1009</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1006</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1007</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1006</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1007</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1007</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1009</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1008</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1010</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1007</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1009</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1005</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1008</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1009</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1006</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1008</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1008</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1007</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1006</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1007</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1010</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1007</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1007</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1011</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1006</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1010</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1006</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1007</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1006</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1011</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1010</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1010</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1010</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1008</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1005</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1008</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1008</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1007</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1007</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1010</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1011</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1007</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1005</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1009</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1005</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1008</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1005</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1010</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1005</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1010</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1009</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1008</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1010</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1011</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1008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1007</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1009</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1008</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1008</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1005</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1009</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1011</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1006</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1009</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1009</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1009</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1009</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1007</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1011</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1007</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1009</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1009</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1009</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1009</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1005</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1007</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1010</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1008</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1010</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1007</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1010</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1008</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1011</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1011</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1009</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1008</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1011</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1008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1007</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1009</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1008</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1006</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1007</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1006</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1007</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1009</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1005</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1010</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1007</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1007</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1008</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1008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1008</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1007</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1008</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1011</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1006</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1008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1006</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1008</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1006</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1010</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1007</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1008</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1008</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1007</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1010</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1011</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1010</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1011</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1009</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1007</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1008</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1011</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1011</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1008</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1007</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1005</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1006</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1008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1007</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1005</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1009</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1007</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1010</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1010</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1008</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1008</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1007</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1006</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1011</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1006</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1010</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1010</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1008</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1007</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1011</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1009</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1006</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1007</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1008</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1007</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1005</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1011</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1011</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1007</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1005</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1007</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1005</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1008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1011</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1008</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1007</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1007</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1011</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1009</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1011</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1007</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1007</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1011</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1007</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1009</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1009</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1007</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1006</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1010</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1011</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1009</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1009</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1007</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1009</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1011</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1008</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1010</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1008</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1010</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1006</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1008</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1005</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1008</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1011</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1010</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1005</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1010</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1009</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1010</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1006</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1011</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1008</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1009</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1011</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1007</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1005</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1005</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1011</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1007</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1006</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1011</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1010</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1010</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1008</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1009</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1009</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1009</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1010</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1011</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1005</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1007</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1007</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1008</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1005</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1007</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1007</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1010</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1006</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1006</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1006</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1007</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1008</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1005</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1009</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1005</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1011</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1007</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1009</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1007</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1010</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1011</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1007</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1011</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1011</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1005</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1008</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1005</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1005</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1006</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1009</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1008</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1011</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1009</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1009</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1009</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1009</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1006</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1007</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1007</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1008</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1010</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1007</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1005</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1007</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1010</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1011</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1006</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1007</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1007</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1009</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1008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1005</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1006</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1006</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1008</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1010</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1009</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1011</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1005</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1005</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1008</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1007</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1011</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1007</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1011</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1008</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1007</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1011</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1008</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1008</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B418C-5D3A-4258-B2FD-AB4F69F9DB0A}">
  <dimension ref="A1:F71"/>
  <sheetViews>
    <sheetView workbookViewId="0">
      <selection activeCell="H19" sqref="H19"/>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618</v>
      </c>
      <c r="E1" t="s">
        <v>613</v>
      </c>
      <c r="F1" t="s">
        <v>858</v>
      </c>
    </row>
    <row r="2" spans="1:6" x14ac:dyDescent="0.3">
      <c r="A2">
        <v>1</v>
      </c>
      <c r="B2" t="s">
        <v>859</v>
      </c>
      <c r="C2" t="s">
        <v>860</v>
      </c>
      <c r="D2">
        <v>1935</v>
      </c>
      <c r="E2" t="s">
        <v>699</v>
      </c>
      <c r="F2" t="s">
        <v>861</v>
      </c>
    </row>
    <row r="3" spans="1:6" x14ac:dyDescent="0.3">
      <c r="A3">
        <v>2</v>
      </c>
      <c r="B3" t="s">
        <v>862</v>
      </c>
      <c r="C3" t="s">
        <v>863</v>
      </c>
      <c r="D3">
        <v>441</v>
      </c>
      <c r="E3" t="s">
        <v>620</v>
      </c>
      <c r="F3" t="s">
        <v>864</v>
      </c>
    </row>
    <row r="4" spans="1:6" x14ac:dyDescent="0.3">
      <c r="A4">
        <v>3</v>
      </c>
      <c r="B4" t="s">
        <v>865</v>
      </c>
      <c r="C4" t="s">
        <v>866</v>
      </c>
      <c r="D4">
        <v>1534</v>
      </c>
      <c r="E4" t="s">
        <v>620</v>
      </c>
      <c r="F4" t="s">
        <v>867</v>
      </c>
    </row>
    <row r="5" spans="1:6" x14ac:dyDescent="0.3">
      <c r="A5">
        <v>4</v>
      </c>
      <c r="B5" t="s">
        <v>868</v>
      </c>
      <c r="C5" t="s">
        <v>869</v>
      </c>
      <c r="D5">
        <v>1199</v>
      </c>
      <c r="E5" t="s">
        <v>829</v>
      </c>
      <c r="F5" t="s">
        <v>870</v>
      </c>
    </row>
    <row r="6" spans="1:6" x14ac:dyDescent="0.3">
      <c r="A6">
        <v>5</v>
      </c>
      <c r="B6" t="s">
        <v>871</v>
      </c>
      <c r="C6" t="s">
        <v>866</v>
      </c>
      <c r="D6">
        <v>1444</v>
      </c>
      <c r="E6" t="s">
        <v>699</v>
      </c>
      <c r="F6" t="s">
        <v>872</v>
      </c>
    </row>
    <row r="7" spans="1:6" x14ac:dyDescent="0.3">
      <c r="A7">
        <v>6</v>
      </c>
      <c r="B7" t="s">
        <v>873</v>
      </c>
      <c r="C7" t="s">
        <v>874</v>
      </c>
      <c r="D7">
        <v>1112</v>
      </c>
      <c r="E7" t="s">
        <v>701</v>
      </c>
      <c r="F7" t="s">
        <v>875</v>
      </c>
    </row>
    <row r="8" spans="1:6" x14ac:dyDescent="0.3">
      <c r="A8">
        <v>7</v>
      </c>
      <c r="B8" t="s">
        <v>876</v>
      </c>
      <c r="C8" t="s">
        <v>860</v>
      </c>
      <c r="D8">
        <v>409</v>
      </c>
      <c r="E8" t="s">
        <v>701</v>
      </c>
      <c r="F8" t="s">
        <v>877</v>
      </c>
    </row>
    <row r="9" spans="1:6" x14ac:dyDescent="0.3">
      <c r="A9">
        <v>8</v>
      </c>
      <c r="B9" t="s">
        <v>878</v>
      </c>
      <c r="C9" t="s">
        <v>869</v>
      </c>
      <c r="D9">
        <v>252</v>
      </c>
      <c r="E9" t="s">
        <v>698</v>
      </c>
      <c r="F9" t="s">
        <v>879</v>
      </c>
    </row>
    <row r="10" spans="1:6" x14ac:dyDescent="0.3">
      <c r="A10">
        <v>9</v>
      </c>
      <c r="B10" t="s">
        <v>880</v>
      </c>
      <c r="C10" t="s">
        <v>866</v>
      </c>
      <c r="D10">
        <v>1605</v>
      </c>
      <c r="E10" t="s">
        <v>794</v>
      </c>
      <c r="F10" t="s">
        <v>881</v>
      </c>
    </row>
    <row r="11" spans="1:6" x14ac:dyDescent="0.3">
      <c r="A11">
        <v>10</v>
      </c>
      <c r="B11" t="s">
        <v>882</v>
      </c>
      <c r="C11" t="s">
        <v>874</v>
      </c>
      <c r="D11">
        <v>259</v>
      </c>
      <c r="E11" t="s">
        <v>707</v>
      </c>
      <c r="F11" t="s">
        <v>883</v>
      </c>
    </row>
    <row r="12" spans="1:6" x14ac:dyDescent="0.3">
      <c r="A12">
        <v>11</v>
      </c>
      <c r="B12" t="s">
        <v>884</v>
      </c>
      <c r="C12" t="s">
        <v>885</v>
      </c>
      <c r="D12">
        <v>1096</v>
      </c>
      <c r="E12" t="s">
        <v>620</v>
      </c>
      <c r="F12" t="s">
        <v>886</v>
      </c>
    </row>
    <row r="13" spans="1:6" x14ac:dyDescent="0.3">
      <c r="A13">
        <v>12</v>
      </c>
      <c r="B13" t="s">
        <v>887</v>
      </c>
      <c r="C13" t="s">
        <v>863</v>
      </c>
      <c r="D13">
        <v>672</v>
      </c>
      <c r="E13" t="s">
        <v>698</v>
      </c>
      <c r="F13" t="s">
        <v>888</v>
      </c>
    </row>
    <row r="14" spans="1:6" x14ac:dyDescent="0.3">
      <c r="A14">
        <v>13</v>
      </c>
      <c r="B14" t="s">
        <v>889</v>
      </c>
      <c r="C14" t="s">
        <v>885</v>
      </c>
      <c r="D14">
        <v>1141</v>
      </c>
      <c r="E14" t="s">
        <v>701</v>
      </c>
      <c r="F14" t="s">
        <v>890</v>
      </c>
    </row>
    <row r="15" spans="1:6" x14ac:dyDescent="0.3">
      <c r="A15">
        <v>14</v>
      </c>
      <c r="B15" t="s">
        <v>891</v>
      </c>
      <c r="C15" t="s">
        <v>866</v>
      </c>
      <c r="D15">
        <v>1915</v>
      </c>
      <c r="E15" t="s">
        <v>707</v>
      </c>
      <c r="F15" t="s">
        <v>892</v>
      </c>
    </row>
    <row r="16" spans="1:6" x14ac:dyDescent="0.3">
      <c r="A16">
        <v>15</v>
      </c>
      <c r="B16" t="s">
        <v>893</v>
      </c>
      <c r="C16" t="s">
        <v>794</v>
      </c>
      <c r="D16">
        <v>1488</v>
      </c>
      <c r="E16" t="s">
        <v>698</v>
      </c>
      <c r="F16" t="s">
        <v>894</v>
      </c>
    </row>
    <row r="17" spans="1:6" x14ac:dyDescent="0.3">
      <c r="A17">
        <v>16</v>
      </c>
      <c r="B17" t="s">
        <v>895</v>
      </c>
      <c r="C17" t="s">
        <v>869</v>
      </c>
      <c r="D17">
        <v>1721</v>
      </c>
      <c r="E17" t="s">
        <v>701</v>
      </c>
      <c r="F17" t="s">
        <v>896</v>
      </c>
    </row>
    <row r="18" spans="1:6" x14ac:dyDescent="0.3">
      <c r="A18">
        <v>17</v>
      </c>
      <c r="B18" t="s">
        <v>897</v>
      </c>
      <c r="C18" t="s">
        <v>860</v>
      </c>
      <c r="D18">
        <v>1899</v>
      </c>
      <c r="E18" t="s">
        <v>698</v>
      </c>
      <c r="F18" t="s">
        <v>898</v>
      </c>
    </row>
    <row r="19" spans="1:6" x14ac:dyDescent="0.3">
      <c r="A19">
        <v>18</v>
      </c>
      <c r="B19" t="s">
        <v>899</v>
      </c>
      <c r="C19" t="s">
        <v>863</v>
      </c>
      <c r="D19">
        <v>781</v>
      </c>
      <c r="E19" t="s">
        <v>707</v>
      </c>
      <c r="F19" t="s">
        <v>900</v>
      </c>
    </row>
    <row r="20" spans="1:6" x14ac:dyDescent="0.3">
      <c r="A20">
        <v>19</v>
      </c>
      <c r="B20" t="s">
        <v>901</v>
      </c>
      <c r="C20" t="s">
        <v>885</v>
      </c>
      <c r="D20">
        <v>1234</v>
      </c>
      <c r="E20" t="s">
        <v>620</v>
      </c>
      <c r="F20" t="s">
        <v>902</v>
      </c>
    </row>
    <row r="21" spans="1:6" x14ac:dyDescent="0.3">
      <c r="A21">
        <v>20</v>
      </c>
      <c r="B21" t="s">
        <v>903</v>
      </c>
      <c r="C21" t="s">
        <v>866</v>
      </c>
      <c r="D21">
        <v>697</v>
      </c>
      <c r="E21" t="s">
        <v>698</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698</v>
      </c>
      <c r="F24" t="s">
        <v>910</v>
      </c>
    </row>
    <row r="25" spans="1:6" x14ac:dyDescent="0.3">
      <c r="A25">
        <v>24</v>
      </c>
      <c r="B25" t="s">
        <v>911</v>
      </c>
      <c r="C25" t="s">
        <v>885</v>
      </c>
      <c r="D25">
        <v>535</v>
      </c>
      <c r="E25" t="s">
        <v>707</v>
      </c>
      <c r="F25" t="s">
        <v>912</v>
      </c>
    </row>
    <row r="26" spans="1:6" x14ac:dyDescent="0.3">
      <c r="A26">
        <v>25</v>
      </c>
      <c r="B26" t="s">
        <v>913</v>
      </c>
      <c r="C26" t="s">
        <v>863</v>
      </c>
      <c r="D26">
        <v>1202</v>
      </c>
      <c r="E26" t="s">
        <v>698</v>
      </c>
      <c r="F26" t="s">
        <v>914</v>
      </c>
    </row>
    <row r="27" spans="1:6" x14ac:dyDescent="0.3">
      <c r="A27">
        <v>26</v>
      </c>
      <c r="B27" t="s">
        <v>915</v>
      </c>
      <c r="C27" t="s">
        <v>866</v>
      </c>
      <c r="D27">
        <v>289</v>
      </c>
      <c r="E27" t="s">
        <v>701</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701</v>
      </c>
      <c r="F30" t="s">
        <v>922</v>
      </c>
    </row>
    <row r="31" spans="1:6" x14ac:dyDescent="0.3">
      <c r="A31">
        <v>30</v>
      </c>
      <c r="B31" t="s">
        <v>923</v>
      </c>
      <c r="C31" t="s">
        <v>866</v>
      </c>
      <c r="D31">
        <v>751</v>
      </c>
      <c r="E31" t="s">
        <v>698</v>
      </c>
      <c r="F31" t="s">
        <v>924</v>
      </c>
    </row>
    <row r="32" spans="1:6" x14ac:dyDescent="0.3">
      <c r="A32">
        <v>31</v>
      </c>
      <c r="B32" t="s">
        <v>925</v>
      </c>
      <c r="C32" t="s">
        <v>866</v>
      </c>
      <c r="D32">
        <v>1804</v>
      </c>
      <c r="E32" t="s">
        <v>699</v>
      </c>
      <c r="F32" t="s">
        <v>926</v>
      </c>
    </row>
    <row r="33" spans="1:6" x14ac:dyDescent="0.3">
      <c r="A33">
        <v>32</v>
      </c>
      <c r="B33" t="s">
        <v>927</v>
      </c>
      <c r="C33" t="s">
        <v>860</v>
      </c>
      <c r="D33">
        <v>1792</v>
      </c>
      <c r="E33" t="s">
        <v>707</v>
      </c>
      <c r="F33" t="s">
        <v>928</v>
      </c>
    </row>
    <row r="34" spans="1:6" x14ac:dyDescent="0.3">
      <c r="A34">
        <v>33</v>
      </c>
      <c r="B34" t="s">
        <v>929</v>
      </c>
      <c r="C34" t="s">
        <v>866</v>
      </c>
      <c r="D34">
        <v>314</v>
      </c>
      <c r="E34" t="s">
        <v>620</v>
      </c>
      <c r="F34" t="s">
        <v>930</v>
      </c>
    </row>
    <row r="35" spans="1:6" x14ac:dyDescent="0.3">
      <c r="A35">
        <v>34</v>
      </c>
      <c r="B35" t="s">
        <v>931</v>
      </c>
      <c r="C35" t="s">
        <v>860</v>
      </c>
      <c r="D35">
        <v>1335</v>
      </c>
      <c r="E35" t="s">
        <v>794</v>
      </c>
      <c r="F35" t="s">
        <v>932</v>
      </c>
    </row>
    <row r="36" spans="1:6" x14ac:dyDescent="0.3">
      <c r="A36">
        <v>35</v>
      </c>
      <c r="B36" t="s">
        <v>933</v>
      </c>
      <c r="C36" t="s">
        <v>866</v>
      </c>
      <c r="D36">
        <v>1865</v>
      </c>
      <c r="E36" t="s">
        <v>701</v>
      </c>
      <c r="F36" t="s">
        <v>934</v>
      </c>
    </row>
    <row r="37" spans="1:6" x14ac:dyDescent="0.3">
      <c r="A37">
        <v>36</v>
      </c>
      <c r="B37" t="s">
        <v>935</v>
      </c>
      <c r="C37" t="s">
        <v>863</v>
      </c>
      <c r="D37">
        <v>203</v>
      </c>
      <c r="E37" t="s">
        <v>707</v>
      </c>
      <c r="F37" t="s">
        <v>936</v>
      </c>
    </row>
    <row r="38" spans="1:6" x14ac:dyDescent="0.3">
      <c r="A38">
        <v>37</v>
      </c>
      <c r="B38" t="s">
        <v>937</v>
      </c>
      <c r="C38" t="s">
        <v>866</v>
      </c>
      <c r="D38">
        <v>1428</v>
      </c>
      <c r="E38" t="s">
        <v>829</v>
      </c>
      <c r="F38" t="s">
        <v>938</v>
      </c>
    </row>
    <row r="39" spans="1:6" x14ac:dyDescent="0.3">
      <c r="A39">
        <v>38</v>
      </c>
      <c r="B39" t="s">
        <v>939</v>
      </c>
      <c r="C39" t="s">
        <v>874</v>
      </c>
      <c r="D39">
        <v>562</v>
      </c>
      <c r="E39" t="s">
        <v>707</v>
      </c>
      <c r="F39" t="s">
        <v>940</v>
      </c>
    </row>
    <row r="40" spans="1:6" x14ac:dyDescent="0.3">
      <c r="A40">
        <v>39</v>
      </c>
      <c r="B40" t="s">
        <v>941</v>
      </c>
      <c r="C40" t="s">
        <v>885</v>
      </c>
      <c r="D40">
        <v>387</v>
      </c>
      <c r="E40" t="s">
        <v>699</v>
      </c>
      <c r="F40" t="s">
        <v>942</v>
      </c>
    </row>
    <row r="41" spans="1:6" x14ac:dyDescent="0.3">
      <c r="A41">
        <v>40</v>
      </c>
      <c r="B41" t="s">
        <v>943</v>
      </c>
      <c r="C41" t="s">
        <v>869</v>
      </c>
      <c r="D41">
        <v>1923</v>
      </c>
      <c r="E41" t="s">
        <v>698</v>
      </c>
      <c r="F41" t="s">
        <v>944</v>
      </c>
    </row>
    <row r="42" spans="1:6" x14ac:dyDescent="0.3">
      <c r="A42">
        <v>41</v>
      </c>
      <c r="B42" t="s">
        <v>945</v>
      </c>
      <c r="C42" t="s">
        <v>869</v>
      </c>
      <c r="D42">
        <v>1977</v>
      </c>
      <c r="E42" t="s">
        <v>829</v>
      </c>
      <c r="F42" t="s">
        <v>946</v>
      </c>
    </row>
    <row r="43" spans="1:6" x14ac:dyDescent="0.3">
      <c r="A43">
        <v>42</v>
      </c>
      <c r="B43" t="s">
        <v>947</v>
      </c>
      <c r="C43" t="s">
        <v>869</v>
      </c>
      <c r="D43">
        <v>1744</v>
      </c>
      <c r="E43" t="s">
        <v>699</v>
      </c>
      <c r="F43" t="s">
        <v>948</v>
      </c>
    </row>
    <row r="44" spans="1:6" x14ac:dyDescent="0.3">
      <c r="A44">
        <v>43</v>
      </c>
      <c r="B44" t="s">
        <v>949</v>
      </c>
      <c r="C44" t="s">
        <v>794</v>
      </c>
      <c r="D44">
        <v>750</v>
      </c>
      <c r="E44" t="s">
        <v>829</v>
      </c>
      <c r="F44" t="s">
        <v>950</v>
      </c>
    </row>
    <row r="45" spans="1:6" x14ac:dyDescent="0.3">
      <c r="A45">
        <v>44</v>
      </c>
      <c r="B45" t="s">
        <v>951</v>
      </c>
      <c r="C45" t="s">
        <v>863</v>
      </c>
      <c r="D45">
        <v>794</v>
      </c>
      <c r="E45" t="s">
        <v>829</v>
      </c>
      <c r="F45" t="s">
        <v>952</v>
      </c>
    </row>
    <row r="46" spans="1:6" x14ac:dyDescent="0.3">
      <c r="A46">
        <v>45</v>
      </c>
      <c r="B46" t="s">
        <v>953</v>
      </c>
      <c r="C46" t="s">
        <v>794</v>
      </c>
      <c r="D46">
        <v>722</v>
      </c>
      <c r="E46" t="s">
        <v>707</v>
      </c>
      <c r="F46" t="s">
        <v>954</v>
      </c>
    </row>
    <row r="47" spans="1:6" x14ac:dyDescent="0.3">
      <c r="A47">
        <v>46</v>
      </c>
      <c r="B47" t="s">
        <v>955</v>
      </c>
      <c r="C47" t="s">
        <v>874</v>
      </c>
      <c r="D47">
        <v>758</v>
      </c>
      <c r="E47" t="s">
        <v>698</v>
      </c>
      <c r="F47" t="s">
        <v>956</v>
      </c>
    </row>
    <row r="48" spans="1:6" x14ac:dyDescent="0.3">
      <c r="A48">
        <v>47</v>
      </c>
      <c r="B48" t="s">
        <v>957</v>
      </c>
      <c r="C48" t="s">
        <v>866</v>
      </c>
      <c r="D48">
        <v>1638</v>
      </c>
      <c r="E48" t="s">
        <v>701</v>
      </c>
      <c r="F48" t="s">
        <v>958</v>
      </c>
    </row>
    <row r="49" spans="1:6" x14ac:dyDescent="0.3">
      <c r="A49">
        <v>48</v>
      </c>
      <c r="B49" t="s">
        <v>959</v>
      </c>
      <c r="C49" t="s">
        <v>866</v>
      </c>
      <c r="D49">
        <v>433</v>
      </c>
      <c r="E49" t="s">
        <v>829</v>
      </c>
      <c r="F49" t="s">
        <v>960</v>
      </c>
    </row>
    <row r="50" spans="1:6" x14ac:dyDescent="0.3">
      <c r="A50">
        <v>49</v>
      </c>
      <c r="B50" t="s">
        <v>961</v>
      </c>
      <c r="C50" t="s">
        <v>866</v>
      </c>
      <c r="D50">
        <v>903</v>
      </c>
      <c r="E50" t="s">
        <v>620</v>
      </c>
      <c r="F50" t="s">
        <v>962</v>
      </c>
    </row>
    <row r="51" spans="1:6" x14ac:dyDescent="0.3">
      <c r="A51">
        <v>50</v>
      </c>
      <c r="B51" t="s">
        <v>963</v>
      </c>
      <c r="C51" t="s">
        <v>863</v>
      </c>
      <c r="D51">
        <v>422</v>
      </c>
      <c r="E51" t="s">
        <v>701</v>
      </c>
      <c r="F51" t="s">
        <v>964</v>
      </c>
    </row>
    <row r="52" spans="1:6" x14ac:dyDescent="0.3">
      <c r="A52">
        <v>51</v>
      </c>
      <c r="B52" t="s">
        <v>965</v>
      </c>
      <c r="C52" t="s">
        <v>860</v>
      </c>
      <c r="D52">
        <v>1084</v>
      </c>
      <c r="E52" t="s">
        <v>699</v>
      </c>
      <c r="F52" t="s">
        <v>966</v>
      </c>
    </row>
    <row r="53" spans="1:6" x14ac:dyDescent="0.3">
      <c r="A53">
        <v>52</v>
      </c>
      <c r="B53" t="s">
        <v>967</v>
      </c>
      <c r="C53" t="s">
        <v>794</v>
      </c>
      <c r="D53">
        <v>236</v>
      </c>
      <c r="E53" t="s">
        <v>620</v>
      </c>
      <c r="F53" t="s">
        <v>968</v>
      </c>
    </row>
    <row r="54" spans="1:6" x14ac:dyDescent="0.3">
      <c r="A54">
        <v>53</v>
      </c>
      <c r="B54" t="s">
        <v>969</v>
      </c>
      <c r="C54" t="s">
        <v>869</v>
      </c>
      <c r="D54">
        <v>1672</v>
      </c>
      <c r="E54" t="s">
        <v>794</v>
      </c>
      <c r="F54" t="s">
        <v>970</v>
      </c>
    </row>
    <row r="55" spans="1:6" x14ac:dyDescent="0.3">
      <c r="A55">
        <v>54</v>
      </c>
      <c r="B55" t="s">
        <v>971</v>
      </c>
      <c r="C55" t="s">
        <v>874</v>
      </c>
      <c r="D55">
        <v>1236</v>
      </c>
      <c r="E55" t="s">
        <v>698</v>
      </c>
      <c r="F55" t="s">
        <v>972</v>
      </c>
    </row>
    <row r="56" spans="1:6" x14ac:dyDescent="0.3">
      <c r="A56">
        <v>55</v>
      </c>
      <c r="B56" t="s">
        <v>973</v>
      </c>
      <c r="C56" t="s">
        <v>860</v>
      </c>
      <c r="D56">
        <v>1904</v>
      </c>
      <c r="E56" t="s">
        <v>794</v>
      </c>
      <c r="F56" t="s">
        <v>974</v>
      </c>
    </row>
    <row r="57" spans="1:6" x14ac:dyDescent="0.3">
      <c r="A57">
        <v>56</v>
      </c>
      <c r="B57" t="s">
        <v>905</v>
      </c>
      <c r="C57" t="s">
        <v>794</v>
      </c>
      <c r="D57">
        <v>1272</v>
      </c>
      <c r="E57" t="s">
        <v>698</v>
      </c>
      <c r="F57" t="s">
        <v>975</v>
      </c>
    </row>
    <row r="58" spans="1:6" x14ac:dyDescent="0.3">
      <c r="A58">
        <v>57</v>
      </c>
      <c r="B58" t="s">
        <v>976</v>
      </c>
      <c r="C58" t="s">
        <v>866</v>
      </c>
      <c r="D58">
        <v>1582</v>
      </c>
      <c r="E58" t="s">
        <v>707</v>
      </c>
      <c r="F58" t="s">
        <v>977</v>
      </c>
    </row>
    <row r="59" spans="1:6" x14ac:dyDescent="0.3">
      <c r="A59">
        <v>58</v>
      </c>
      <c r="B59" t="s">
        <v>978</v>
      </c>
      <c r="C59" t="s">
        <v>874</v>
      </c>
      <c r="D59">
        <v>1492</v>
      </c>
      <c r="E59" t="s">
        <v>620</v>
      </c>
      <c r="F59" t="s">
        <v>979</v>
      </c>
    </row>
    <row r="60" spans="1:6" x14ac:dyDescent="0.3">
      <c r="A60">
        <v>59</v>
      </c>
      <c r="B60" t="s">
        <v>980</v>
      </c>
      <c r="C60" t="s">
        <v>874</v>
      </c>
      <c r="D60">
        <v>811</v>
      </c>
      <c r="E60" t="s">
        <v>794</v>
      </c>
      <c r="F60" t="s">
        <v>981</v>
      </c>
    </row>
    <row r="61" spans="1:6" x14ac:dyDescent="0.3">
      <c r="A61">
        <v>60</v>
      </c>
      <c r="B61" t="s">
        <v>982</v>
      </c>
      <c r="C61" t="s">
        <v>869</v>
      </c>
      <c r="D61">
        <v>827</v>
      </c>
      <c r="E61" t="s">
        <v>829</v>
      </c>
      <c r="F61" t="s">
        <v>983</v>
      </c>
    </row>
    <row r="62" spans="1:6" x14ac:dyDescent="0.3">
      <c r="A62">
        <v>61</v>
      </c>
      <c r="B62" t="s">
        <v>984</v>
      </c>
      <c r="C62" t="s">
        <v>863</v>
      </c>
      <c r="D62">
        <v>810</v>
      </c>
      <c r="E62" t="s">
        <v>698</v>
      </c>
      <c r="F62" t="s">
        <v>985</v>
      </c>
    </row>
    <row r="63" spans="1:6" x14ac:dyDescent="0.3">
      <c r="A63">
        <v>62</v>
      </c>
      <c r="B63" t="s">
        <v>986</v>
      </c>
      <c r="C63" t="s">
        <v>866</v>
      </c>
      <c r="D63">
        <v>1356</v>
      </c>
      <c r="E63" t="s">
        <v>701</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701</v>
      </c>
      <c r="F67" t="s">
        <v>995</v>
      </c>
    </row>
    <row r="68" spans="1:6" x14ac:dyDescent="0.3">
      <c r="A68">
        <v>67</v>
      </c>
      <c r="B68" t="s">
        <v>996</v>
      </c>
      <c r="C68" t="s">
        <v>794</v>
      </c>
      <c r="D68">
        <v>1374</v>
      </c>
      <c r="E68" t="s">
        <v>698</v>
      </c>
      <c r="F68" t="s">
        <v>997</v>
      </c>
    </row>
    <row r="69" spans="1:6" x14ac:dyDescent="0.3">
      <c r="A69">
        <v>68</v>
      </c>
      <c r="B69" t="s">
        <v>998</v>
      </c>
      <c r="C69" t="s">
        <v>860</v>
      </c>
      <c r="D69">
        <v>597</v>
      </c>
      <c r="E69" t="s">
        <v>620</v>
      </c>
      <c r="F69" t="s">
        <v>999</v>
      </c>
    </row>
    <row r="70" spans="1:6" x14ac:dyDescent="0.3">
      <c r="A70">
        <v>69</v>
      </c>
      <c r="B70" t="s">
        <v>1000</v>
      </c>
      <c r="C70" t="s">
        <v>874</v>
      </c>
      <c r="D70">
        <v>998</v>
      </c>
      <c r="E70" t="s">
        <v>701</v>
      </c>
      <c r="F70" t="s">
        <v>1001</v>
      </c>
    </row>
    <row r="71" spans="1:6" x14ac:dyDescent="0.3">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8D50D-113B-4724-B4D5-69112C4F9815}">
  <dimension ref="A1:J53"/>
  <sheetViews>
    <sheetView zoomScale="107" workbookViewId="0">
      <selection activeCell="A6" sqref="A6:B6"/>
    </sheetView>
  </sheetViews>
  <sheetFormatPr defaultRowHeight="14.4" x14ac:dyDescent="0.3"/>
  <cols>
    <col min="1" max="1" width="32" bestFit="1" customWidth="1"/>
    <col min="2" max="2" width="15.109375" bestFit="1" customWidth="1"/>
    <col min="4" max="4" width="14.6640625" bestFit="1" customWidth="1"/>
    <col min="5" max="5" width="17.109375" bestFit="1" customWidth="1"/>
    <col min="6" max="6" width="27.6640625" bestFit="1" customWidth="1"/>
    <col min="7" max="7" width="12.77734375" bestFit="1" customWidth="1"/>
    <col min="8" max="8" width="15.109375" bestFit="1" customWidth="1"/>
    <col min="10" max="10" width="17.88671875" bestFit="1" customWidth="1"/>
  </cols>
  <sheetData>
    <row r="1" spans="1:10" x14ac:dyDescent="0.3">
      <c r="A1" s="4" t="s">
        <v>1013</v>
      </c>
      <c r="B1" t="s">
        <v>1012</v>
      </c>
      <c r="D1" t="s">
        <v>1017</v>
      </c>
      <c r="H1">
        <f>CORREL(Orders!D:D,Orders!M:M)</f>
        <v>3.4781737193018245E-3</v>
      </c>
      <c r="J1" t="s">
        <v>1019</v>
      </c>
    </row>
    <row r="2" spans="1:10" x14ac:dyDescent="0.3">
      <c r="A2" s="5" t="s">
        <v>621</v>
      </c>
      <c r="B2" s="8">
        <v>704509</v>
      </c>
      <c r="D2" s="7">
        <v>3520.9839999999999</v>
      </c>
      <c r="J2" t="s">
        <v>1020</v>
      </c>
    </row>
    <row r="3" spans="1:10" x14ac:dyDescent="0.3">
      <c r="A3" s="5" t="s">
        <v>747</v>
      </c>
      <c r="B3" s="8">
        <v>511823</v>
      </c>
      <c r="J3" t="s">
        <v>1021</v>
      </c>
    </row>
    <row r="4" spans="1:10" x14ac:dyDescent="0.3">
      <c r="A4" s="5" t="s">
        <v>837</v>
      </c>
      <c r="B4" s="8">
        <v>140393</v>
      </c>
    </row>
    <row r="5" spans="1:10" x14ac:dyDescent="0.3">
      <c r="A5" s="5" t="s">
        <v>840</v>
      </c>
      <c r="B5" s="8">
        <v>150346</v>
      </c>
      <c r="D5" s="4" t="s">
        <v>1013</v>
      </c>
      <c r="E5" t="s">
        <v>1012</v>
      </c>
    </row>
    <row r="6" spans="1:10" x14ac:dyDescent="0.3">
      <c r="A6" s="5" t="s">
        <v>841</v>
      </c>
      <c r="B6" s="8">
        <v>157913</v>
      </c>
      <c r="D6" s="5" t="s">
        <v>891</v>
      </c>
      <c r="E6" s="8">
        <v>97665</v>
      </c>
    </row>
    <row r="7" spans="1:10" x14ac:dyDescent="0.3">
      <c r="A7" s="5" t="s">
        <v>839</v>
      </c>
      <c r="B7" s="8">
        <v>135826</v>
      </c>
      <c r="D7" s="5" t="s">
        <v>973</v>
      </c>
      <c r="E7" s="8">
        <v>106624</v>
      </c>
    </row>
    <row r="8" spans="1:10" x14ac:dyDescent="0.3">
      <c r="A8" s="5" t="s">
        <v>795</v>
      </c>
      <c r="B8" s="8">
        <v>737389</v>
      </c>
      <c r="D8" s="5" t="s">
        <v>957</v>
      </c>
      <c r="E8" s="8">
        <v>101556</v>
      </c>
    </row>
    <row r="9" spans="1:10" x14ac:dyDescent="0.3">
      <c r="A9" s="5" t="s">
        <v>843</v>
      </c>
      <c r="B9" s="8">
        <v>136938</v>
      </c>
      <c r="D9" s="5" t="s">
        <v>859</v>
      </c>
      <c r="E9" s="8">
        <v>121905</v>
      </c>
    </row>
    <row r="10" spans="1:10" x14ac:dyDescent="0.3">
      <c r="A10" s="5" t="s">
        <v>845</v>
      </c>
      <c r="B10" s="8">
        <v>151619</v>
      </c>
      <c r="D10" s="5" t="s">
        <v>905</v>
      </c>
      <c r="E10" s="8">
        <v>114476</v>
      </c>
    </row>
    <row r="11" spans="1:10" x14ac:dyDescent="0.3">
      <c r="A11" s="5" t="s">
        <v>822</v>
      </c>
      <c r="B11" s="8">
        <v>449169</v>
      </c>
      <c r="D11" s="5" t="s">
        <v>1014</v>
      </c>
      <c r="E11" s="8">
        <v>542226</v>
      </c>
    </row>
    <row r="12" spans="1:10" x14ac:dyDescent="0.3">
      <c r="A12" s="5" t="s">
        <v>836</v>
      </c>
      <c r="B12" s="8">
        <v>149591</v>
      </c>
    </row>
    <row r="13" spans="1:10" x14ac:dyDescent="0.3">
      <c r="A13" s="5" t="s">
        <v>1016</v>
      </c>
      <c r="B13" s="8">
        <v>95468</v>
      </c>
    </row>
    <row r="14" spans="1:10" x14ac:dyDescent="0.3">
      <c r="A14" s="5" t="s">
        <v>1014</v>
      </c>
      <c r="B14" s="8">
        <v>3520984</v>
      </c>
      <c r="D14" s="4" t="s">
        <v>1013</v>
      </c>
      <c r="E14" t="s">
        <v>1018</v>
      </c>
    </row>
    <row r="15" spans="1:10" x14ac:dyDescent="0.3">
      <c r="D15" s="5" t="s">
        <v>218</v>
      </c>
      <c r="E15" s="9">
        <v>18</v>
      </c>
    </row>
    <row r="16" spans="1:10" x14ac:dyDescent="0.3">
      <c r="D16" s="5" t="s">
        <v>152</v>
      </c>
      <c r="E16" s="9">
        <v>21</v>
      </c>
    </row>
    <row r="17" spans="1:5" x14ac:dyDescent="0.3">
      <c r="A17" s="4" t="s">
        <v>1013</v>
      </c>
      <c r="B17" t="s">
        <v>1012</v>
      </c>
      <c r="D17" s="5" t="s">
        <v>32</v>
      </c>
      <c r="E17" s="9">
        <v>18</v>
      </c>
    </row>
    <row r="18" spans="1:5" x14ac:dyDescent="0.3">
      <c r="A18" s="5" t="s">
        <v>874</v>
      </c>
      <c r="B18" s="8">
        <v>329862</v>
      </c>
      <c r="D18" s="5" t="s">
        <v>324</v>
      </c>
      <c r="E18" s="9">
        <v>28</v>
      </c>
    </row>
    <row r="19" spans="1:5" x14ac:dyDescent="0.3">
      <c r="A19" s="5" t="s">
        <v>866</v>
      </c>
      <c r="B19" s="8">
        <v>1005645</v>
      </c>
      <c r="D19" s="5" t="s">
        <v>230</v>
      </c>
      <c r="E19" s="9">
        <v>21</v>
      </c>
    </row>
    <row r="20" spans="1:5" x14ac:dyDescent="0.3">
      <c r="A20" s="5" t="s">
        <v>885</v>
      </c>
      <c r="B20" s="8">
        <v>201151</v>
      </c>
      <c r="D20" s="5" t="s">
        <v>301</v>
      </c>
      <c r="E20" s="9">
        <v>20</v>
      </c>
    </row>
    <row r="21" spans="1:5" x14ac:dyDescent="0.3">
      <c r="A21" s="5" t="s">
        <v>863</v>
      </c>
      <c r="B21" s="8">
        <v>212281</v>
      </c>
      <c r="D21" s="5" t="s">
        <v>188</v>
      </c>
      <c r="E21" s="9">
        <v>24</v>
      </c>
    </row>
    <row r="22" spans="1:5" x14ac:dyDescent="0.3">
      <c r="A22" s="5" t="s">
        <v>794</v>
      </c>
      <c r="B22" s="8">
        <v>297372</v>
      </c>
      <c r="D22" s="5" t="s">
        <v>307</v>
      </c>
      <c r="E22" s="9">
        <v>29</v>
      </c>
    </row>
    <row r="23" spans="1:5" x14ac:dyDescent="0.3">
      <c r="A23" s="5" t="s">
        <v>860</v>
      </c>
      <c r="B23" s="8">
        <v>740831</v>
      </c>
      <c r="D23" s="5" t="s">
        <v>158</v>
      </c>
      <c r="E23" s="9">
        <v>27</v>
      </c>
    </row>
    <row r="24" spans="1:5" x14ac:dyDescent="0.3">
      <c r="A24" s="5" t="s">
        <v>869</v>
      </c>
      <c r="B24" s="8">
        <v>733842</v>
      </c>
      <c r="D24" s="5" t="s">
        <v>397</v>
      </c>
      <c r="E24" s="9">
        <v>19</v>
      </c>
    </row>
    <row r="25" spans="1:5" x14ac:dyDescent="0.3">
      <c r="A25" s="5" t="s">
        <v>1014</v>
      </c>
      <c r="B25" s="8">
        <v>3520984</v>
      </c>
      <c r="D25" s="5" t="s">
        <v>1014</v>
      </c>
      <c r="E25" s="9">
        <v>225</v>
      </c>
    </row>
    <row r="28" spans="1:5" x14ac:dyDescent="0.3">
      <c r="A28" s="4" t="s">
        <v>1013</v>
      </c>
      <c r="B28" t="s">
        <v>1012</v>
      </c>
      <c r="D28" s="4" t="s">
        <v>1013</v>
      </c>
      <c r="E28" t="s">
        <v>1012</v>
      </c>
    </row>
    <row r="29" spans="1:5" x14ac:dyDescent="0.3">
      <c r="A29" s="5" t="s">
        <v>699</v>
      </c>
      <c r="B29" s="8">
        <v>586176</v>
      </c>
      <c r="D29" s="5">
        <v>0</v>
      </c>
      <c r="E29" s="8">
        <v>99400</v>
      </c>
    </row>
    <row r="30" spans="1:5" x14ac:dyDescent="0.3">
      <c r="A30" s="5" t="s">
        <v>698</v>
      </c>
      <c r="B30" s="8">
        <v>674634</v>
      </c>
      <c r="D30" s="5">
        <v>1</v>
      </c>
      <c r="E30" s="8">
        <v>129309</v>
      </c>
    </row>
    <row r="31" spans="1:5" x14ac:dyDescent="0.3">
      <c r="A31" s="5" t="s">
        <v>707</v>
      </c>
      <c r="B31" s="8">
        <v>408194</v>
      </c>
      <c r="D31" s="5">
        <v>2</v>
      </c>
      <c r="E31" s="8">
        <v>152940</v>
      </c>
    </row>
    <row r="32" spans="1:5" x14ac:dyDescent="0.3">
      <c r="A32" s="5" t="s">
        <v>829</v>
      </c>
      <c r="B32" s="8">
        <v>313783</v>
      </c>
      <c r="D32" s="5">
        <v>3</v>
      </c>
      <c r="E32" s="8">
        <v>146810</v>
      </c>
    </row>
    <row r="33" spans="1:5" x14ac:dyDescent="0.3">
      <c r="A33" s="5" t="s">
        <v>701</v>
      </c>
      <c r="B33" s="8">
        <v>574682</v>
      </c>
      <c r="D33" s="5">
        <v>4</v>
      </c>
      <c r="E33" s="8">
        <v>114700</v>
      </c>
    </row>
    <row r="34" spans="1:5" x14ac:dyDescent="0.3">
      <c r="A34" s="5" t="s">
        <v>794</v>
      </c>
      <c r="B34" s="8">
        <v>631585</v>
      </c>
      <c r="D34" s="5">
        <v>5</v>
      </c>
      <c r="E34" s="8">
        <v>156198</v>
      </c>
    </row>
    <row r="35" spans="1:5" x14ac:dyDescent="0.3">
      <c r="A35" s="5" t="s">
        <v>620</v>
      </c>
      <c r="B35" s="8">
        <v>331930</v>
      </c>
      <c r="D35" s="5">
        <v>6</v>
      </c>
      <c r="E35" s="8">
        <v>177211</v>
      </c>
    </row>
    <row r="36" spans="1:5" x14ac:dyDescent="0.3">
      <c r="A36" s="5" t="s">
        <v>1014</v>
      </c>
      <c r="B36" s="8">
        <v>3520984</v>
      </c>
      <c r="D36" s="5">
        <v>7</v>
      </c>
      <c r="E36" s="8">
        <v>147749</v>
      </c>
    </row>
    <row r="37" spans="1:5" x14ac:dyDescent="0.3">
      <c r="D37" s="5">
        <v>8</v>
      </c>
      <c r="E37" s="8">
        <v>133617</v>
      </c>
    </row>
    <row r="38" spans="1:5" x14ac:dyDescent="0.3">
      <c r="D38" s="5">
        <v>9</v>
      </c>
      <c r="E38" s="8">
        <v>153678</v>
      </c>
    </row>
    <row r="39" spans="1:5" x14ac:dyDescent="0.3">
      <c r="A39" t="s">
        <v>1018</v>
      </c>
      <c r="D39" s="5">
        <v>10</v>
      </c>
      <c r="E39" s="8">
        <v>94985</v>
      </c>
    </row>
    <row r="40" spans="1:5" x14ac:dyDescent="0.3">
      <c r="A40" s="9">
        <v>1000</v>
      </c>
      <c r="D40" s="5">
        <v>11</v>
      </c>
      <c r="E40" s="8">
        <v>130287</v>
      </c>
    </row>
    <row r="41" spans="1:5" x14ac:dyDescent="0.3">
      <c r="D41" s="5">
        <v>12</v>
      </c>
      <c r="E41" s="8">
        <v>162394</v>
      </c>
    </row>
    <row r="42" spans="1:5" x14ac:dyDescent="0.3">
      <c r="A42" t="s">
        <v>1012</v>
      </c>
      <c r="D42" s="5">
        <v>13</v>
      </c>
      <c r="E42" s="8">
        <v>152340</v>
      </c>
    </row>
    <row r="43" spans="1:5" x14ac:dyDescent="0.3">
      <c r="A43" s="8">
        <v>3520984</v>
      </c>
      <c r="D43" s="5">
        <v>14</v>
      </c>
      <c r="E43" s="8">
        <v>126406</v>
      </c>
    </row>
    <row r="44" spans="1:5" x14ac:dyDescent="0.3">
      <c r="D44" s="5">
        <v>15</v>
      </c>
      <c r="E44" s="8">
        <v>163586</v>
      </c>
    </row>
    <row r="45" spans="1:5" x14ac:dyDescent="0.3">
      <c r="A45" t="s">
        <v>1015</v>
      </c>
      <c r="D45" s="5">
        <v>16</v>
      </c>
      <c r="E45" s="8">
        <v>128797</v>
      </c>
    </row>
    <row r="46" spans="1:5" x14ac:dyDescent="0.3">
      <c r="A46" s="9">
        <v>5.53</v>
      </c>
      <c r="D46" s="5">
        <v>17</v>
      </c>
      <c r="E46" s="8">
        <v>155373</v>
      </c>
    </row>
    <row r="47" spans="1:5" x14ac:dyDescent="0.3">
      <c r="D47" s="5">
        <v>18</v>
      </c>
      <c r="E47" s="8">
        <v>173118</v>
      </c>
    </row>
    <row r="48" spans="1:5" x14ac:dyDescent="0.3">
      <c r="A48" t="s">
        <v>1022</v>
      </c>
      <c r="D48" s="5">
        <v>19</v>
      </c>
      <c r="E48" s="8">
        <v>185771</v>
      </c>
    </row>
    <row r="49" spans="1:5" x14ac:dyDescent="0.3">
      <c r="A49" s="8">
        <v>3520.9839999999999</v>
      </c>
      <c r="D49" s="5">
        <v>20</v>
      </c>
      <c r="E49" s="8">
        <v>186426</v>
      </c>
    </row>
    <row r="50" spans="1:5" x14ac:dyDescent="0.3">
      <c r="D50" s="5">
        <v>21</v>
      </c>
      <c r="E50" s="8">
        <v>155466</v>
      </c>
    </row>
    <row r="51" spans="1:5" x14ac:dyDescent="0.3">
      <c r="D51" s="5">
        <v>22</v>
      </c>
      <c r="E51" s="8">
        <v>125912</v>
      </c>
    </row>
    <row r="52" spans="1:5" x14ac:dyDescent="0.3">
      <c r="D52" s="5">
        <v>23</v>
      </c>
      <c r="E52" s="8">
        <v>168511</v>
      </c>
    </row>
    <row r="53" spans="1:5" x14ac:dyDescent="0.3">
      <c r="D53" s="5" t="s">
        <v>1014</v>
      </c>
      <c r="E53" s="8">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8A241-0ADE-4861-94C6-1E68001889D0}">
  <dimension ref="A1"/>
  <sheetViews>
    <sheetView tabSelected="1" zoomScale="101" zoomScaleNormal="101" workbookViewId="0">
      <selection activeCell="F3" sqref="F3"/>
    </sheetView>
  </sheetViews>
  <sheetFormatPr defaultRowHeight="14.4" x14ac:dyDescent="0.3"/>
  <cols>
    <col min="1" max="16384" width="8.88671875" style="6"/>
  </cols>
  <sheetData/>
  <sheetProtection algorithmName="SHA-512" hashValue="ae65K6f0/OA19I2T2h4vzmmdj6U1sPV3QUvekGN8uUdr41vRuXciSQNQK7/aMYy2moZJVwJwDzCSGZGsegBbOA==" saltValue="wqGEuWp9k0sHTH3pZmI6Tg=="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7DED521-512D-4517-804D-8FB370B0A7F6}">
  <ds:schemaRefs/>
</ds:datastoreItem>
</file>

<file path=customXml/itemProps2.xml><?xml version="1.0" encoding="utf-8"?>
<ds:datastoreItem xmlns:ds="http://schemas.openxmlformats.org/officeDocument/2006/customXml" ds:itemID="{5101B752-CD44-4AC3-BE6D-E90AF795DB38}">
  <ds:schemaRefs/>
</ds:datastoreItem>
</file>

<file path=customXml/itemProps3.xml><?xml version="1.0" encoding="utf-8"?>
<ds:datastoreItem xmlns:ds="http://schemas.openxmlformats.org/officeDocument/2006/customXml" ds:itemID="{36898BFD-66E4-420B-87B5-E1B2C0FCCD75}">
  <ds:schemaRefs/>
</ds:datastoreItem>
</file>

<file path=customXml/itemProps4.xml><?xml version="1.0" encoding="utf-8"?>
<ds:datastoreItem xmlns:ds="http://schemas.openxmlformats.org/officeDocument/2006/customXml" ds:itemID="{E56C12D5-B49D-47DE-BF5C-F9BA97A3DFFB}">
  <ds:schemaRefs/>
</ds:datastoreItem>
</file>

<file path=customXml/itemProps5.xml><?xml version="1.0" encoding="utf-8"?>
<ds:datastoreItem xmlns:ds="http://schemas.openxmlformats.org/officeDocument/2006/customXml" ds:itemID="{EFEB4221-75F6-433E-8893-AA217864150A}">
  <ds:schemaRefs/>
</ds:datastoreItem>
</file>

<file path=customXml/itemProps6.xml><?xml version="1.0" encoding="utf-8"?>
<ds:datastoreItem xmlns:ds="http://schemas.openxmlformats.org/officeDocument/2006/customXml" ds:itemID="{52BAC31A-86EE-43D1-B621-585D8FF28258}">
  <ds:schemaRefs/>
</ds:datastoreItem>
</file>

<file path=customXml/itemProps7.xml><?xml version="1.0" encoding="utf-8"?>
<ds:datastoreItem xmlns:ds="http://schemas.openxmlformats.org/officeDocument/2006/customXml" ds:itemID="{8244E540-F825-414B-A1F0-4737DBEA9A09}">
  <ds:schemaRefs/>
</ds:datastoreItem>
</file>

<file path=customXml/itemProps8.xml><?xml version="1.0" encoding="utf-8"?>
<ds:datastoreItem xmlns:ds="http://schemas.openxmlformats.org/officeDocument/2006/customXml" ds:itemID="{4364BD77-079E-430F-BB19-7743F91AD90D}">
  <ds:schemaRefs/>
</ds:datastoreItem>
</file>

<file path=customXml/itemProps9.xml><?xml version="1.0" encoding="utf-8"?>
<ds:datastoreItem xmlns:ds="http://schemas.openxmlformats.org/officeDocument/2006/customXml" ds:itemID="{D47AB7A4-6010-4306-8226-A9F7A4E8088A}">
  <ds:schemaRefs/>
</ds:datastoreItem>
</file>

<file path=customXml/itemProps10.xml><?xml version="1.0" encoding="utf-8"?>
<ds:datastoreItem xmlns:ds="http://schemas.openxmlformats.org/officeDocument/2006/customXml" ds:itemID="{5934DFC8-F407-4C6F-8715-44F93E9353D3}">
  <ds:schemaRefs/>
</ds:datastoreItem>
</file>

<file path=customXml/itemProps11.xml><?xml version="1.0" encoding="utf-8"?>
<ds:datastoreItem xmlns:ds="http://schemas.openxmlformats.org/officeDocument/2006/customXml" ds:itemID="{C9BC7586-B828-45BF-95BE-5C65E7C2E3EA}">
  <ds:schemaRefs>
    <ds:schemaRef ds:uri="http://schemas.microsoft.com/DataMashup"/>
  </ds:schemaRefs>
</ds:datastoreItem>
</file>

<file path=customXml/itemProps12.xml><?xml version="1.0" encoding="utf-8"?>
<ds:datastoreItem xmlns:ds="http://schemas.openxmlformats.org/officeDocument/2006/customXml" ds:itemID="{8AD1E871-0113-4C0E-9E48-C91C8787A79B}">
  <ds:schemaRefs/>
</ds:datastoreItem>
</file>

<file path=customXml/itemProps13.xml><?xml version="1.0" encoding="utf-8"?>
<ds:datastoreItem xmlns:ds="http://schemas.openxmlformats.org/officeDocument/2006/customXml" ds:itemID="{3D9AD3B4-D168-4692-8E4F-9F3B75CB5510}">
  <ds:schemaRefs/>
</ds:datastoreItem>
</file>

<file path=customXml/itemProps14.xml><?xml version="1.0" encoding="utf-8"?>
<ds:datastoreItem xmlns:ds="http://schemas.openxmlformats.org/officeDocument/2006/customXml" ds:itemID="{B5CC550F-5863-4E75-9BB0-F414C3907165}">
  <ds:schemaRefs/>
</ds:datastoreItem>
</file>

<file path=customXml/itemProps15.xml><?xml version="1.0" encoding="utf-8"?>
<ds:datastoreItem xmlns:ds="http://schemas.openxmlformats.org/officeDocument/2006/customXml" ds:itemID="{FEFA0C99-9DF4-446C-AB72-9C92E57458F2}">
  <ds:schemaRefs/>
</ds:datastoreItem>
</file>

<file path=customXml/itemProps16.xml><?xml version="1.0" encoding="utf-8"?>
<ds:datastoreItem xmlns:ds="http://schemas.openxmlformats.org/officeDocument/2006/customXml" ds:itemID="{C1341544-0967-415F-B109-502EA3089BB0}">
  <ds:schemaRefs/>
</ds:datastoreItem>
</file>

<file path=customXml/itemProps17.xml><?xml version="1.0" encoding="utf-8"?>
<ds:datastoreItem xmlns:ds="http://schemas.openxmlformats.org/officeDocument/2006/customXml" ds:itemID="{150C6A84-C2C3-455F-B498-42E1DC153C1A}">
  <ds:schemaRefs/>
</ds:datastoreItem>
</file>

<file path=customXml/itemProps18.xml><?xml version="1.0" encoding="utf-8"?>
<ds:datastoreItem xmlns:ds="http://schemas.openxmlformats.org/officeDocument/2006/customXml" ds:itemID="{ADC3D09F-9B4D-436D-AF5A-2EAD4C39E80F}">
  <ds:schemaRefs/>
</ds:datastoreItem>
</file>

<file path=customXml/itemProps19.xml><?xml version="1.0" encoding="utf-8"?>
<ds:datastoreItem xmlns:ds="http://schemas.openxmlformats.org/officeDocument/2006/customXml" ds:itemID="{AAC800AC-2B0A-4D84-9ACE-C480394B5EA8}">
  <ds:schemaRefs/>
</ds:datastoreItem>
</file>

<file path=customXml/itemProps20.xml><?xml version="1.0" encoding="utf-8"?>
<ds:datastoreItem xmlns:ds="http://schemas.openxmlformats.org/officeDocument/2006/customXml" ds:itemID="{F279A0C0-0652-4BA4-BF4F-548DC5AE5E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vt:lpstr>
      <vt:lpstr>Orders</vt:lpstr>
      <vt:lpstr>Products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Gagan Singh</dc:creator>
  <cp:lastModifiedBy>Gagan Singh</cp:lastModifiedBy>
  <dcterms:created xsi:type="dcterms:W3CDTF">2026-02-08T12:19:06Z</dcterms:created>
  <dcterms:modified xsi:type="dcterms:W3CDTF">2026-02-11T12:57:56Z</dcterms:modified>
</cp:coreProperties>
</file>