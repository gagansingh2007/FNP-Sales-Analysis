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https://d.docs.live.net/a716b91040829a8c/Documents/Excel Datasets/FNP Datasets/"/>
    </mc:Choice>
  </mc:AlternateContent>
  <xr:revisionPtr revIDLastSave="487" documentId="8_{31EF6C6F-05E4-4617-93A7-B2C8831AC1F9}" xr6:coauthVersionLast="47" xr6:coauthVersionMax="47" xr10:uidLastSave="{21BFA9C1-6DEC-4297-9517-739CC90C50A6}"/>
  <bookViews>
    <workbookView xWindow="-108" yWindow="-108" windowWidth="23256" windowHeight="12456" firstSheet="1" activeTab="5" xr2:uid="{442D3246-A668-42FF-BE0D-98BA3B3B691D}"/>
  </bookViews>
  <sheets>
    <sheet name="FNP Datasets" sheetId="2" state="hidden" r:id="rId1"/>
    <sheet name="Customer" sheetId="3" r:id="rId2"/>
    <sheet name="Orders" sheetId="4" r:id="rId3"/>
    <sheet name="Products" sheetId="5" r:id="rId4"/>
    <sheet name="Pivot Table" sheetId="1" r:id="rId5"/>
    <sheet name="Dashboard" sheetId="6" r:id="rId6"/>
  </sheets>
  <definedNames>
    <definedName name="ExternalData_1" localSheetId="0" hidden="1">'FNP Datasets'!$A$1:$F$4</definedName>
    <definedName name="ExternalData_2" localSheetId="1" hidden="1">'Customer'!$A$1:$G$101</definedName>
    <definedName name="ExternalData_3" localSheetId="2" hidden="1">Orders!$A$1:$Q$1001</definedName>
    <definedName name="ExternalData_4" localSheetId="3" hidden="1">Products!$A$1:$F$71</definedName>
    <definedName name="Slicer_Category">#N/A</definedName>
    <definedName name="Slicer_Occasion">#N/A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s>
  <extLst>
    <ext xmlns:x14="http://schemas.microsoft.com/office/spreadsheetml/2009/9/main" uri="{876F7934-8845-4945-9796-88D515C7AA90}">
      <x14:pivotCaches>
        <pivotCache cacheId="11"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 r:id="rId21"/>
      </x15:timelineCachePivotCaches>
    </ext>
    <ext xmlns:x15="http://schemas.microsoft.com/office/spreadsheetml/2010/11/main" uri="{D0CA8CA8-9F24-4464-BF8E-62219DCF47F9}">
      <x15:timelineCacheRefs>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39f6366c-98ec-4b11-8cef-646a5486010d" name="FNP Datasets" connection="Query - FNP Datasets"/>
          <x15:modelTable id="Customer_7008273e-2a18-43f2-8b34-d64b060d8eb8" name="Customer" connection="Query - Customer"/>
          <x15:modelTable id="Orders_ceb7b481-db1b-4389-ad29-47931f537eff" name="Orders" connection="Query - Orders"/>
          <x15:modelTable id="Products_faf3a924-24d0-4a56-a068-0d29ee9132fb" name="Products" connection="Query - Products"/>
        </x15:modelTables>
        <x15:modelRelationships>
          <x15:modelRelationship fromTable="Orders" fromColumn="Customer_ID" toTable="Customer"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77B1A44-AEE8-4EF5-808D-FDC081C0D1A1}"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E66B9DE8-9E6E-4061-AFA7-B9A1F9DB21FA}" keepAlive="1" name="ModelConnection_ExternalData_2"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3" xr16:uid="{EF178F89-39D3-4B36-8D6E-0DCFAF648EDF}"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9C15D045-6978-4D09-80F2-720142DCBCD7}"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1D79C365-C01B-4DC5-B093-FB21D40D466E}" name="Query - Customer" description="Connection to the 'Customer' query in the workbook." type="100" refreshedVersion="8" minRefreshableVersion="5">
    <extLst>
      <ext xmlns:x15="http://schemas.microsoft.com/office/spreadsheetml/2010/11/main" uri="{DE250136-89BD-433C-8126-D09CA5730AF9}">
        <x15:connection id="0e2a9e22-21c1-4493-a217-2ed919a59384"/>
      </ext>
    </extLst>
  </connection>
  <connection id="6" xr16:uid="{59635C63-2BA3-4D61-9648-8C1BCEFF43B8}" name="Query - FNP Datasets" description="Connection to the 'FNP Datasets' query in the workbook." type="100" refreshedVersion="8" minRefreshableVersion="5">
    <extLst>
      <ext xmlns:x15="http://schemas.microsoft.com/office/spreadsheetml/2010/11/main" uri="{DE250136-89BD-433C-8126-D09CA5730AF9}">
        <x15:connection id="1ea357da-eeb1-4cbc-9502-69ab9fb2c2c1"/>
      </ext>
    </extLst>
  </connection>
  <connection id="7" xr16:uid="{2AEF5998-9771-4B72-8F55-1E718A3BB11C}" name="Query - Orders" description="Connection to the 'Orders' query in the workbook." type="100" refreshedVersion="8" minRefreshableVersion="5">
    <extLst>
      <ext xmlns:x15="http://schemas.microsoft.com/office/spreadsheetml/2010/11/main" uri="{DE250136-89BD-433C-8126-D09CA5730AF9}">
        <x15:connection id="2f336822-8bb6-4017-92c8-5d0f6bb6856f"/>
      </ext>
    </extLst>
  </connection>
  <connection id="8" xr16:uid="{406D8E32-65D9-4934-BC89-02B2A06EA262}" name="Query - Products" description="Connection to the 'Products' query in the workbook." type="100" refreshedVersion="8" minRefreshableVersion="5">
    <extLst>
      <ext xmlns:x15="http://schemas.microsoft.com/office/spreadsheetml/2010/11/main" uri="{DE250136-89BD-433C-8126-D09CA5730AF9}">
        <x15:connection id="dfef6087-bb80-4c3f-bd97-f5a5ec35ce21"/>
      </ext>
    </extLst>
  </connection>
  <connection id="9" xr16:uid="{27DABC37-27AE-4509-8BA8-1E4ABEA15FB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<sst xmlns="http://schemas.openxmlformats.org/spreadsheetml/2006/main" count="6092" uniqueCount="1023">
  <si>
    <t>Name</t>
  </si>
  <si>
    <t>Extension</t>
  </si>
  <si>
    <t>Date accessed</t>
  </si>
  <si>
    <t>Date modified</t>
  </si>
  <si>
    <t>Date created</t>
  </si>
  <si>
    <t>Folder Path</t>
  </si>
  <si>
    <t>customers.csv</t>
  </si>
  <si>
    <t>.csv</t>
  </si>
  <si>
    <t>C:\Users\gagan\OneDrive\Documents\Excel Datasets\FNP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</si>
  <si>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</si>
  <si>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</si>
  <si>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</si>
  <si>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</si>
  <si>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</si>
  <si>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</si>
  <si>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</si>
  <si>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</si>
  <si>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</si>
  <si>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</si>
  <si>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</si>
  <si>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</si>
  <si>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</si>
  <si>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</si>
  <si>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</si>
  <si>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</si>
  <si>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</si>
  <si>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</si>
  <si>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</si>
  <si>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</si>
  <si>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</si>
  <si>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</si>
  <si>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</si>
  <si>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</si>
  <si>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</si>
  <si>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</si>
  <si>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</si>
  <si>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</si>
  <si>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</si>
  <si>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</si>
  <si>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</si>
  <si>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</si>
  <si>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</si>
  <si>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</si>
  <si>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</si>
  <si>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</si>
  <si>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</si>
  <si>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</si>
  <si>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</si>
  <si>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</si>
  <si>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</si>
  <si>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</si>
  <si>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</si>
  <si>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</si>
  <si>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</si>
  <si>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</si>
  <si>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</si>
  <si>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</si>
  <si>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</si>
  <si>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</si>
  <si>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</si>
  <si>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</si>
  <si>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</si>
  <si>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</si>
  <si>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</si>
  <si>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</si>
  <si>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</si>
  <si>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</si>
  <si>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</si>
  <si>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</si>
  <si>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</si>
  <si>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</si>
  <si>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</si>
  <si>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</si>
  <si>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</si>
  <si>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</si>
  <si>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</si>
  <si>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</si>
  <si>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</si>
  <si>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</si>
  <si>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</si>
  <si>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</si>
  <si>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</si>
  <si>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</si>
  <si>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</si>
  <si>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</si>
  <si>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</si>
  <si>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</si>
  <si>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</si>
  <si>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</si>
  <si>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</si>
  <si>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</si>
  <si>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</si>
  <si>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</si>
  <si>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</si>
  <si>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</si>
  <si>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</si>
  <si>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</si>
  <si>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</si>
  <si>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</si>
  <si>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</si>
  <si>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</si>
  <si>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</si>
  <si>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</si>
  <si>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</si>
  <si>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</si>
  <si>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</si>
  <si>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</si>
  <si>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</si>
  <si>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</si>
  <si>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</si>
  <si>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</si>
  <si>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</si>
  <si>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</si>
  <si>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</si>
  <si>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</si>
  <si>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</si>
  <si>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</si>
  <si>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</si>
  <si>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</si>
  <si>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</si>
  <si>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</si>
  <si>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</si>
  <si>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</si>
  <si>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</si>
  <si>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</si>
  <si>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</si>
  <si>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</si>
  <si>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</si>
  <si>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</si>
  <si>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</si>
  <si>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</si>
  <si>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</si>
  <si>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</si>
  <si>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</si>
  <si>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</si>
  <si>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</si>
  <si>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</si>
  <si>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</si>
  <si>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</si>
  <si>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</si>
  <si>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</si>
  <si>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</si>
  <si>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</si>
  <si>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</si>
  <si>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</si>
  <si>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</si>
  <si>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</si>
  <si>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</si>
  <si>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</si>
  <si>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</si>
  <si>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</si>
  <si>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</si>
  <si>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</si>
  <si>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</si>
  <si>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</si>
  <si>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</si>
  <si>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</si>
  <si>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</si>
  <si>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</si>
  <si>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</si>
  <si>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</si>
  <si>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</si>
  <si>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</si>
  <si>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</si>
  <si>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</si>
  <si>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</si>
  <si>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</si>
  <si>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</si>
  <si>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</si>
  <si>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</si>
  <si>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</si>
  <si>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</si>
  <si>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</si>
  <si>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</si>
  <si>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</si>
  <si>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</si>
  <si>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</si>
  <si>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</si>
  <si>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</si>
  <si>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</si>
  <si>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</si>
  <si>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</si>
  <si>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</si>
  <si>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</si>
  <si>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</si>
  <si>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</si>
  <si>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</si>
  <si>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</si>
  <si>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</si>
  <si>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</si>
  <si>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</si>
  <si>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</si>
  <si>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</si>
  <si>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</si>
  <si>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</si>
  <si>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</si>
  <si>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</si>
  <si>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</si>
  <si>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</si>
  <si>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</si>
  <si>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</si>
  <si>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</si>
  <si>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</si>
  <si>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</si>
  <si>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</si>
  <si>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</si>
  <si>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</si>
  <si>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</si>
  <si>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</si>
  <si>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</si>
  <si>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</si>
  <si>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</si>
  <si>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</si>
  <si>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</si>
  <si>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</si>
  <si>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</si>
  <si>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</si>
  <si>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</si>
  <si>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</si>
  <si>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</si>
  <si>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</si>
  <si>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</si>
  <si>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</si>
  <si>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</si>
  <si>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</si>
  <si>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</si>
  <si>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</si>
  <si>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</si>
  <si>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</si>
  <si>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</si>
  <si>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</si>
  <si>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</si>
  <si>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</si>
  <si>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</si>
  <si>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</si>
  <si>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</si>
  <si>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</si>
  <si>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</si>
  <si>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</si>
  <si>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</si>
  <si>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</si>
  <si>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</si>
  <si>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</si>
  <si>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</si>
  <si>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</si>
  <si>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</si>
  <si>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</si>
  <si>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</si>
  <si>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</si>
  <si>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</si>
  <si>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</si>
  <si>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</si>
  <si>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</si>
  <si>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</si>
  <si>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</si>
  <si>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</si>
  <si>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</si>
  <si>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</si>
  <si>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</si>
  <si>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</si>
  <si>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</si>
  <si>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</si>
  <si>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</si>
  <si>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</si>
  <si>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</si>
  <si>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</si>
  <si>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</si>
  <si>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</si>
  <si>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</si>
  <si>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</si>
  <si>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</si>
  <si>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</si>
  <si>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</si>
  <si>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</si>
  <si>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</si>
  <si>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</si>
  <si>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</si>
  <si>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</si>
  <si>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</si>
  <si>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</si>
  <si>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</si>
  <si>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</si>
  <si>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</si>
  <si>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</si>
  <si>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</si>
  <si>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</si>
  <si>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</si>
  <si>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</si>
  <si>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</si>
  <si>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</si>
  <si>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</si>
  <si>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</si>
  <si>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</si>
  <si>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</si>
  <si>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</si>
  <si>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</si>
  <si>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</si>
  <si>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</si>
  <si>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</si>
  <si>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</si>
  <si>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</si>
  <si>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</si>
  <si>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</si>
  <si>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</si>
  <si>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</si>
  <si>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</si>
  <si>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</si>
  <si>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</si>
  <si>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</si>
  <si>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</si>
  <si>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</si>
  <si>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</si>
  <si>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</si>
  <si>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</si>
  <si>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</si>
  <si>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</si>
  <si>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</si>
  <si>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</si>
  <si>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</si>
  <si>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</si>
  <si>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</si>
  <si>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</si>
  <si>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</si>
  <si>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</si>
  <si>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</si>
  <si>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</si>
  <si>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</si>
  <si>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</si>
  <si>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</si>
  <si>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</si>
  <si>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</si>
  <si>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</si>
  <si>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</si>
  <si>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</si>
  <si>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</si>
  <si>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</si>
  <si>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</si>
  <si>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</si>
  <si>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</si>
  <si>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</si>
  <si>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</si>
  <si>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</si>
  <si>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</si>
  <si>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</si>
  <si>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</si>
  <si>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</si>
  <si>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</si>
  <si>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</si>
  <si>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</si>
  <si>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</si>
  <si>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</si>
  <si>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</si>
  <si>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</si>
  <si>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</si>
  <si>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</si>
  <si>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</si>
  <si>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</si>
  <si>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</si>
  <si>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</si>
  <si>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</si>
  <si>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</si>
  <si>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</si>
  <si>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</si>
  <si>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</si>
  <si>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</si>
  <si>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</si>
  <si>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</si>
  <si>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</si>
  <si>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</si>
  <si>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</si>
  <si>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</si>
  <si>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</si>
  <si>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</si>
  <si>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</si>
  <si>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</si>
  <si>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</si>
  <si>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</si>
  <si>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</si>
  <si>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</si>
  <si>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</si>
  <si>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</si>
  <si>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</si>
  <si>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</si>
  <si>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</si>
  <si>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</si>
  <si>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</si>
  <si>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</si>
  <si>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</si>
  <si>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</si>
  <si>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</si>
  <si>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</si>
  <si>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</si>
  <si>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</si>
  <si>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</si>
  <si>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</si>
  <si>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</si>
  <si>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</si>
  <si>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</si>
  <si>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</si>
  <si>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</si>
  <si>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</si>
  <si>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</si>
  <si>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</si>
  <si>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</si>
  <si>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</si>
  <si>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</si>
  <si>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</si>
  <si>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</si>
  <si>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</si>
  <si>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</si>
  <si>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</si>
  <si>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</si>
  <si>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</si>
  <si>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</si>
  <si>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</si>
  <si>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</si>
  <si>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</si>
  <si>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</si>
  <si>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</si>
  <si>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</si>
  <si>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</si>
  <si>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</si>
  <si>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</si>
  <si>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</si>
  <si>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</si>
  <si>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</si>
  <si>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</si>
  <si>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</si>
  <si>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</si>
  <si>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</si>
  <si>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</si>
  <si>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</si>
  <si>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</si>
  <si>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</si>
  <si>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</si>
  <si>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</si>
  <si>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</si>
  <si>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</si>
  <si>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</si>
  <si>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</si>
  <si>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</si>
  <si>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</si>
  <si>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</si>
  <si>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</si>
  <si>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</si>
  <si>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</si>
  <si>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</si>
  <si>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</si>
  <si>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</si>
  <si>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</si>
  <si>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</si>
  <si>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</si>
  <si>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</si>
  <si>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</si>
  <si>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</si>
  <si>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</si>
  <si>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</si>
  <si>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</si>
  <si>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</si>
  <si>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</si>
  <si>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</si>
  <si>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</si>
  <si>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</si>
  <si>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</si>
  <si>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</si>
  <si>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</si>
  <si>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</si>
  <si>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</si>
  <si>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</si>
  <si>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</si>
  <si>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</si>
  <si>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</si>
  <si>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</si>
  <si>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</si>
  <si>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</si>
  <si>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</si>
  <si>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</si>
  <si>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</si>
  <si>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</si>
  <si>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</si>
  <si>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</si>
  <si>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</si>
  <si>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</si>
  <si>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</si>
  <si>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</si>
  <si>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</si>
  <si>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</si>
  <si>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</si>
  <si>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</si>
  <si>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</si>
  <si>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</si>
  <si>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</si>
  <si>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</si>
  <si>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</si>
  <si>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</si>
  <si>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</si>
  <si>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</si>
  <si>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</si>
  <si>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</si>
  <si>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</si>
  <si>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</si>
  <si>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</si>
  <si>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</si>
  <si>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</si>
  <si>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</si>
  <si>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</si>
  <si>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</si>
  <si>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</si>
  <si>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</si>
  <si>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</si>
  <si>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</si>
  <si>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</si>
  <si>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</si>
  <si>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</si>
  <si>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</si>
  <si>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</si>
  <si>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</si>
  <si>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</si>
  <si>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</si>
  <si>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</si>
  <si>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</si>
  <si>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</si>
  <si>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</si>
  <si>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</si>
  <si>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</si>
  <si>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</si>
  <si>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</si>
  <si>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</si>
  <si>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</si>
  <si>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</si>
  <si>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</si>
  <si>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</si>
  <si>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</si>
  <si>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</si>
  <si>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</si>
  <si>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</si>
  <si>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</si>
  <si>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</si>
  <si>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</si>
  <si>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</si>
  <si>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</si>
  <si>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</si>
  <si>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</si>
  <si>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</si>
  <si>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</si>
  <si>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</si>
  <si>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</si>
  <si>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</si>
  <si>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</si>
  <si>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</si>
  <si>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</si>
  <si>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</si>
  <si>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</si>
  <si>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</si>
  <si>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</si>
  <si>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</si>
  <si>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</si>
  <si>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</si>
  <si>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</si>
  <si>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</si>
  <si>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</si>
  <si>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</si>
  <si>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</si>
  <si>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</si>
  <si>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</si>
  <si>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</si>
  <si>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</si>
  <si>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</si>
  <si>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</si>
  <si>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</si>
  <si>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</si>
  <si>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</si>
  <si>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</si>
  <si>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</si>
  <si>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</si>
  <si>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</si>
  <si>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</si>
  <si>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</si>
  <si>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</si>
  <si>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</si>
  <si>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</si>
  <si>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</si>
  <si>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</si>
  <si>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</si>
  <si>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</si>
  <si>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</si>
  <si>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</si>
  <si>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</si>
  <si>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</si>
  <si>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</si>
  <si>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</si>
  <si>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</si>
  <si>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</si>
  <si>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</si>
  <si>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</si>
  <si>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</si>
  <si>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</si>
  <si>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</si>
  <si>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</si>
  <si>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</si>
  <si>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</si>
  <si>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</si>
  <si>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</si>
  <si>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</si>
  <si>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</si>
  <si>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</si>
  <si>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</si>
  <si>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</si>
  <si>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</si>
  <si>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</si>
  <si>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</si>
  <si>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</si>
  <si>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</si>
  <si>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</si>
  <si>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</si>
  <si>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 time)</t>
  </si>
  <si>
    <t>diff b/w_order_delivery</t>
  </si>
  <si>
    <t>Hour(Delivery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</si>
  <si>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</si>
  <si>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</si>
  <si>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</si>
  <si>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</si>
  <si>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</si>
  <si>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</si>
  <si>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</si>
  <si>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</si>
  <si>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</si>
  <si>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</si>
  <si>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</si>
  <si>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</si>
  <si>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</si>
  <si>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</si>
  <si>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</si>
  <si>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</si>
  <si>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</si>
  <si>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</si>
  <si>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</si>
  <si>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</si>
  <si>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</si>
  <si>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</si>
  <si>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</si>
  <si>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</si>
  <si>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</si>
  <si>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</si>
  <si>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</si>
  <si>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</si>
  <si>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</si>
  <si>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</si>
  <si>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</si>
  <si>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</si>
  <si>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</si>
  <si>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</si>
  <si>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</si>
  <si>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</si>
  <si>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</si>
  <si>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</si>
  <si>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</si>
  <si>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</si>
  <si>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</si>
  <si>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</si>
  <si>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</si>
  <si>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</si>
  <si>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</si>
  <si>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</si>
  <si>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</si>
  <si>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</si>
  <si>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</si>
  <si>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</si>
  <si>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</si>
  <si>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</si>
  <si>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</si>
  <si>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</si>
  <si>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</si>
  <si>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</si>
  <si>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</si>
  <si>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</si>
  <si>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</si>
  <si>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</si>
  <si>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</si>
  <si>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</si>
  <si>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</si>
  <si>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</si>
  <si>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</si>
  <si>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</si>
  <si>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</si>
  <si>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</si>
  <si>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</si>
  <si>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</si>
  <si>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</si>
  <si>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</si>
  <si>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</si>
  <si>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</si>
  <si>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</si>
  <si>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</si>
  <si>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</si>
  <si>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</si>
  <si>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</si>
  <si>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</si>
  <si>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</si>
  <si>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</si>
  <si>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</si>
  <si>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</si>
  <si>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</si>
  <si>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</si>
  <si>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</si>
  <si>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</si>
  <si>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</si>
  <si>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</si>
  <si>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</si>
  <si>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</si>
  <si>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</si>
  <si>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</si>
  <si>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</si>
  <si>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</si>
  <si>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</si>
  <si>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</si>
  <si>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</si>
  <si>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</si>
  <si>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</si>
  <si>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</si>
  <si>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</si>
  <si>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</si>
  <si>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</si>
  <si>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</si>
  <si>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</si>
  <si>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</si>
  <si>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</si>
  <si>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</si>
  <si>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</si>
  <si>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</si>
  <si>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</si>
  <si>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</si>
  <si>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</si>
  <si>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</si>
  <si>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</si>
  <si>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</si>
  <si>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</si>
  <si>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</si>
  <si>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</si>
  <si>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</si>
  <si>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</si>
  <si>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</si>
  <si>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</si>
  <si>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</si>
  <si>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</si>
  <si>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</si>
  <si>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</si>
  <si>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</si>
  <si>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</si>
  <si>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</si>
  <si>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</si>
  <si>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</si>
  <si>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</si>
  <si>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</si>
  <si>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</si>
  <si>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</si>
  <si>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</si>
  <si>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</si>
  <si>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</si>
  <si>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</si>
  <si>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</si>
  <si>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</si>
  <si>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</si>
  <si>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</si>
  <si>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</si>
  <si>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</si>
  <si>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</si>
  <si>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</si>
  <si>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</si>
  <si>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</si>
  <si>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</si>
  <si>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</si>
  <si>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</si>
  <si>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</si>
  <si>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</si>
  <si>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</si>
  <si>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</si>
  <si>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</si>
  <si>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</si>
  <si>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</si>
  <si>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</si>
  <si>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</si>
  <si>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</si>
  <si>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</si>
  <si>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</si>
  <si>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</si>
  <si>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</si>
  <si>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</si>
  <si>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</si>
  <si>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</si>
  <si>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</si>
  <si>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</si>
  <si>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</si>
  <si>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</si>
  <si>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</si>
  <si>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</si>
  <si>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</si>
  <si>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</si>
  <si>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</si>
  <si>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</si>
  <si>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</si>
  <si>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</si>
  <si>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</si>
  <si>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</si>
  <si>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</si>
  <si>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</si>
  <si>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</si>
  <si>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</si>
  <si>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</si>
  <si>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</si>
  <si>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</si>
  <si>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</si>
  <si>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</si>
  <si>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</si>
  <si>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</si>
  <si>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</si>
  <si>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</si>
  <si>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</si>
  <si>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</si>
  <si>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</si>
  <si>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</si>
  <si>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</si>
  <si>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</si>
  <si>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</si>
  <si>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</si>
  <si>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</si>
  <si>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</si>
  <si>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</si>
  <si>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</si>
  <si>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</si>
  <si>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</si>
  <si>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</si>
  <si>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</si>
  <si>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</si>
  <si>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</si>
  <si>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</si>
  <si>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</si>
  <si>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</si>
  <si>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</si>
  <si>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</si>
  <si>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</si>
  <si>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</si>
  <si>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</si>
  <si>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</si>
  <si>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</si>
  <si>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</si>
  <si>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</si>
  <si>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</si>
  <si>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</si>
  <si>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</si>
  <si>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</si>
  <si>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</si>
  <si>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</si>
  <si>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</si>
  <si>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</si>
  <si>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</si>
  <si>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</si>
  <si>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</si>
  <si>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</si>
  <si>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</si>
  <si>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</si>
  <si>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</si>
  <si>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</si>
  <si>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</si>
  <si>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</si>
  <si>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</si>
  <si>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</si>
  <si>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</si>
  <si>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</si>
  <si>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</si>
  <si>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</si>
  <si>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</si>
  <si>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</si>
  <si>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</si>
  <si>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</si>
  <si>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</si>
  <si>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</si>
  <si>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</si>
  <si>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</si>
  <si>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</si>
  <si>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</si>
  <si>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</si>
  <si>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</si>
  <si>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</si>
  <si>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</si>
  <si>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</si>
  <si>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</si>
  <si>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</si>
  <si>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</si>
  <si>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</si>
  <si>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</si>
  <si>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</si>
  <si>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</si>
  <si>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</si>
  <si>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</si>
  <si>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</si>
  <si>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</si>
  <si>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</si>
  <si>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</si>
  <si>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</si>
  <si>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</si>
  <si>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</si>
  <si>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</si>
  <si>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</si>
  <si>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</si>
  <si>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</si>
  <si>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</si>
  <si>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</si>
  <si>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</si>
  <si>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</si>
  <si>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</si>
  <si>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</si>
  <si>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</si>
  <si>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</si>
  <si>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</si>
  <si>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</si>
  <si>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</si>
  <si>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</si>
  <si>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</si>
  <si>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</si>
  <si>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</si>
  <si>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</si>
  <si>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</si>
  <si>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</si>
  <si>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</si>
  <si>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</si>
  <si>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</si>
  <si>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</si>
  <si>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</si>
  <si>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</si>
  <si>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</si>
  <si>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</si>
  <si>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</si>
  <si>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</si>
  <si>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</si>
  <si>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</si>
  <si>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</si>
  <si>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</si>
  <si>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</si>
  <si>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</si>
  <si>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</si>
  <si>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</si>
  <si>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</si>
  <si>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</si>
  <si>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</si>
  <si>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</si>
  <si>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</si>
  <si>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</si>
  <si>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</si>
  <si>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</si>
  <si>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</si>
  <si>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</si>
  <si>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</si>
  <si>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</si>
  <si>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</si>
  <si>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</si>
  <si>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</si>
  <si>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</si>
  <si>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</si>
  <si>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</si>
  <si>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</si>
  <si>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</si>
  <si>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</si>
  <si>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</si>
  <si>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</si>
  <si>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</si>
  <si>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</si>
  <si>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</si>
  <si>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</si>
  <si>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</si>
  <si>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</si>
  <si>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</si>
  <si>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</si>
  <si>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</si>
  <si>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</si>
  <si>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</si>
  <si>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</si>
  <si>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</si>
  <si>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</si>
  <si>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</si>
  <si>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</si>
  <si>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</si>
  <si>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</si>
  <si>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</si>
  <si>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</si>
  <si>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</si>
  <si>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</si>
  <si>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</si>
  <si>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</si>
  <si>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</si>
  <si>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</si>
  <si>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</si>
  <si>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</si>
  <si>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</si>
  <si>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</si>
  <si>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</si>
  <si>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</si>
  <si>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</si>
  <si>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</si>
  <si>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</si>
  <si>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</si>
  <si>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</si>
  <si>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</si>
  <si>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Revenue</t>
  </si>
  <si>
    <t>Day Name(Order Date)</t>
  </si>
  <si>
    <t>Saturday</t>
  </si>
  <si>
    <t>Wednesday</t>
  </si>
  <si>
    <t>Friday</t>
  </si>
  <si>
    <t>Sunday</t>
  </si>
  <si>
    <t>Monday</t>
  </si>
  <si>
    <t>Tuesday</t>
  </si>
  <si>
    <t>Thursday</t>
  </si>
  <si>
    <t>Sum of Revenue</t>
  </si>
  <si>
    <t>Row Labels</t>
  </si>
  <si>
    <t>Grand Total</t>
  </si>
  <si>
    <t>Average of diff b/w_order_delivery</t>
  </si>
  <si>
    <t xml:space="preserve"> </t>
  </si>
  <si>
    <t>Average of customer spending</t>
  </si>
  <si>
    <t>Count of Order_ID</t>
  </si>
  <si>
    <t>Strongly negative=-1</t>
  </si>
  <si>
    <t>strongly positive=1</t>
  </si>
  <si>
    <t>Neutral=0</t>
  </si>
  <si>
    <t>Average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</si>
</sst>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1" x14ac:knownFonts="1">
    <font>
      <sz val="11"/>
      <color theme="1"/>
      <name val="Calibri"/>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8">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165" fontId="0" fillId="0" borderId="0" xfId="0" applyNumberFormat="1"/>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haredStrings" Target="sharedStrings.xml"/><Relationship Id="rId39" Type="http://schemas.openxmlformats.org/officeDocument/2006/relationships/customXml" Target="../customXml/item10.xml"/><Relationship Id="rId21" Type="http://schemas.openxmlformats.org/officeDocument/2006/relationships/pivotCacheDefinition" Target="pivotCache/pivotCacheDefinition13.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alcChain" Target="calcChain.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microsoft.com/office/2017/10/relationships/person" Target="persons/person.xml"/><Relationship Id="rId36" Type="http://schemas.openxmlformats.org/officeDocument/2006/relationships/customXml" Target="../customXml/item7.xml"/><Relationship Id="rId49" Type="http://schemas.openxmlformats.org/officeDocument/2006/relationships/customXml" Target="../customXml/item20.xml"/><Relationship Id="rId10" Type="http://schemas.openxmlformats.org/officeDocument/2006/relationships/pivotCacheDefinition" Target="pivotCache/pivotCacheDefinition4.xml"/><Relationship Id="rId19" Type="http://schemas.microsoft.com/office/2007/relationships/slicerCache" Target="slicerCaches/slicerCache1.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11/relationships/timelineCache" Target="timelineCaches/timelineCache1.xml"/><Relationship Id="rId27" Type="http://schemas.openxmlformats.org/officeDocument/2006/relationships/powerPivotData" Target="model/item.data"/><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microsoft.com/office/2007/relationships/slicerCache" Target="slicerCaches/slicerCache2.xml"/><Relationship Id="rId41"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 Sales Analysis.xlsx]Pivot Table!PivotTable1</c:name>
    <c:fmtId val="10"/>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a:solidFill>
                  <a:schemeClr val="accent6">
                    <a:lumMod val="50000"/>
                  </a:schemeClr>
                </a:solidFill>
              </a:rPr>
              <a:t>Revenue</a:t>
            </a:r>
            <a:r>
              <a:rPr lang="en-US" baseline="0">
                <a:solidFill>
                  <a:schemeClr val="accent6">
                    <a:lumMod val="50000"/>
                  </a:schemeClr>
                </a:solidFill>
              </a:rPr>
              <a:t> by Months</a:t>
            </a:r>
            <a:endParaRPr lang="en-US">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75000"/>
              </a:schemeClr>
            </a:solidFill>
            <a:round/>
          </a:ln>
          <a:effectLst/>
        </c:spPr>
        <c:marker>
          <c:symbol val="circle"/>
          <c:size val="5"/>
          <c:spPr>
            <a:solidFill>
              <a:schemeClr val="accent6">
                <a:lumMod val="75000"/>
              </a:schemeClr>
            </a:solidFill>
            <a:ln w="9525">
              <a:solidFill>
                <a:schemeClr val="accent6">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c:f>
              <c:strCache>
                <c:ptCount val="1"/>
                <c:pt idx="0">
                  <c:v>Total</c:v>
                </c:pt>
              </c:strCache>
            </c:strRef>
          </c:tx>
          <c:spPr>
            <a:ln w="28575" cap="rnd">
              <a:solidFill>
                <a:schemeClr val="accent6">
                  <a:lumMod val="75000"/>
                </a:schemeClr>
              </a:solidFill>
              <a:round/>
            </a:ln>
            <a:effectLst/>
          </c:spPr>
          <c:marker>
            <c:symbol val="circle"/>
            <c:size val="5"/>
            <c:spPr>
              <a:solidFill>
                <a:schemeClr val="accent6">
                  <a:lumMod val="75000"/>
                </a:schemeClr>
              </a:solidFill>
              <a:ln w="9525">
                <a:solidFill>
                  <a:schemeClr val="accent6">
                    <a:lumMod val="75000"/>
                  </a:schemeClr>
                </a:solidFill>
              </a:ln>
              <a:effectLst/>
            </c:spPr>
          </c:marker>
          <c:cat>
            <c:strRef>
              <c:f>'Pivot Table'!$A$2:$A$14</c:f>
              <c:strCache>
                <c:ptCount val="12"/>
                <c:pt idx="0">
                  <c:v>February</c:v>
                </c:pt>
                <c:pt idx="1">
                  <c:v>March</c:v>
                </c:pt>
                <c:pt idx="2">
                  <c:v>April</c:v>
                </c:pt>
                <c:pt idx="3">
                  <c:v>May</c:v>
                </c:pt>
                <c:pt idx="4">
                  <c:v>June</c:v>
                </c:pt>
                <c:pt idx="5">
                  <c:v>July</c:v>
                </c:pt>
                <c:pt idx="6">
                  <c:v>August</c:v>
                </c:pt>
                <c:pt idx="7">
                  <c:v>September</c:v>
                </c:pt>
                <c:pt idx="8">
                  <c:v>October</c:v>
                </c:pt>
                <c:pt idx="9">
                  <c:v>November</c:v>
                </c:pt>
                <c:pt idx="10">
                  <c:v>December</c:v>
                </c:pt>
                <c:pt idx="11">
                  <c:v> </c:v>
                </c:pt>
              </c:strCache>
            </c:strRef>
          </c:cat>
          <c:val>
            <c:numRef>
              <c:f>'Pivot Table'!$B$2:$B$14</c:f>
              <c:numCache>
                <c:formatCode>"₹"\ #,##0.00;#,##0.00\ \-"₹";"₹"\ #,##0.00</c:formatCode>
                <c:ptCount val="12"/>
                <c:pt idx="0">
                  <c:v>704509</c:v>
                </c:pt>
                <c:pt idx="1">
                  <c:v>511823</c:v>
                </c:pt>
                <c:pt idx="2">
                  <c:v>140393</c:v>
                </c:pt>
                <c:pt idx="3">
                  <c:v>150346</c:v>
                </c:pt>
                <c:pt idx="4">
                  <c:v>157913</c:v>
                </c:pt>
                <c:pt idx="5">
                  <c:v>135826</c:v>
                </c:pt>
                <c:pt idx="6">
                  <c:v>737389</c:v>
                </c:pt>
                <c:pt idx="7">
                  <c:v>136938</c:v>
                </c:pt>
                <c:pt idx="8">
                  <c:v>151619</c:v>
                </c:pt>
                <c:pt idx="9">
                  <c:v>449169</c:v>
                </c:pt>
                <c:pt idx="10">
                  <c:v>149591</c:v>
                </c:pt>
                <c:pt idx="11">
                  <c:v>95468</c:v>
                </c:pt>
              </c:numCache>
            </c:numRef>
          </c:val>
          <c:smooth val="0"/>
          <c:extLst>
            <c:ext xmlns:c16="http://schemas.microsoft.com/office/drawing/2014/chart" uri="{C3380CC4-5D6E-409C-BE32-E72D297353CC}">
              <c16:uniqueId val="{00000000-8A36-4932-9C82-E62526646853}"/>
            </c:ext>
          </c:extLst>
        </c:ser>
        <c:dLbls>
          <c:showLegendKey val="0"/>
          <c:showVal val="0"/>
          <c:showCatName val="0"/>
          <c:showSerName val="0"/>
          <c:showPercent val="0"/>
          <c:showBubbleSize val="0"/>
        </c:dLbls>
        <c:marker val="1"/>
        <c:smooth val="0"/>
        <c:axId val="683561696"/>
        <c:axId val="683564576"/>
      </c:lineChart>
      <c:catAx>
        <c:axId val="68356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683564576"/>
        <c:crosses val="autoZero"/>
        <c:auto val="1"/>
        <c:lblAlgn val="ctr"/>
        <c:lblOffset val="100"/>
        <c:noMultiLvlLbl val="0"/>
      </c:catAx>
      <c:valAx>
        <c:axId val="6835645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683561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15875"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 Sales Analysis.xlsx]Pivot Table!PivotTable5</c:name>
    <c:fmtId val="18"/>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a:solidFill>
                  <a:schemeClr val="accent6">
                    <a:lumMod val="50000"/>
                  </a:schemeClr>
                </a:solidFill>
              </a:rPr>
              <a:t>Top</a:t>
            </a:r>
            <a:r>
              <a:rPr lang="en-US" baseline="0">
                <a:solidFill>
                  <a:schemeClr val="accent6">
                    <a:lumMod val="50000"/>
                  </a:schemeClr>
                </a:solidFill>
              </a:rPr>
              <a:t> 5 Products by Revenue</a:t>
            </a:r>
            <a:endParaRPr lang="en-US">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Table'!$E$5</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Table'!$D$6:$D$11</c:f>
              <c:strCache>
                <c:ptCount val="5"/>
                <c:pt idx="0">
                  <c:v>Deserunt Box</c:v>
                </c:pt>
                <c:pt idx="1">
                  <c:v>Dolores Gift</c:v>
                </c:pt>
                <c:pt idx="2">
                  <c:v>Harum Pack</c:v>
                </c:pt>
                <c:pt idx="3">
                  <c:v>Magnam Set</c:v>
                </c:pt>
                <c:pt idx="4">
                  <c:v>Quia Gift</c:v>
                </c:pt>
              </c:strCache>
            </c:strRef>
          </c:cat>
          <c:val>
            <c:numRef>
              <c:f>'Pivot Table'!$E$6:$E$11</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2AFA-44EF-82B5-520674F991EF}"/>
            </c:ext>
          </c:extLst>
        </c:ser>
        <c:dLbls>
          <c:dLblPos val="inEnd"/>
          <c:showLegendKey val="0"/>
          <c:showVal val="1"/>
          <c:showCatName val="0"/>
          <c:showSerName val="0"/>
          <c:showPercent val="0"/>
          <c:showBubbleSize val="0"/>
        </c:dLbls>
        <c:gapWidth val="182"/>
        <c:overlap val="100"/>
        <c:axId val="683573696"/>
        <c:axId val="683562656"/>
      </c:barChart>
      <c:catAx>
        <c:axId val="6835736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683562656"/>
        <c:crosses val="autoZero"/>
        <c:auto val="1"/>
        <c:lblAlgn val="ctr"/>
        <c:lblOffset val="100"/>
        <c:noMultiLvlLbl val="0"/>
      </c:catAx>
      <c:valAx>
        <c:axId val="683562656"/>
        <c:scaling>
          <c:orientation val="minMax"/>
        </c:scaling>
        <c:delete val="0"/>
        <c:axPos val="l"/>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683573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15875"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 Sales Analysis.xlsx]Pivot Table!PivotTable9</c:name>
    <c:fmtId val="13"/>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a:solidFill>
                  <a:schemeClr val="accent6">
                    <a:lumMod val="50000"/>
                  </a:schemeClr>
                </a:solidFill>
              </a:rPr>
              <a:t>Top</a:t>
            </a:r>
            <a:r>
              <a:rPr lang="en-US" baseline="0">
                <a:solidFill>
                  <a:schemeClr val="accent6">
                    <a:lumMod val="50000"/>
                  </a:schemeClr>
                </a:solidFill>
              </a:rPr>
              <a:t> 10 Cities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Table'!$E$14</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Table'!$D$15:$D$25</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 Table'!$E$15:$E$25</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6A4E-4020-A721-4B0EF1B15BC4}"/>
            </c:ext>
          </c:extLst>
        </c:ser>
        <c:dLbls>
          <c:dLblPos val="outEnd"/>
          <c:showLegendKey val="0"/>
          <c:showVal val="1"/>
          <c:showCatName val="0"/>
          <c:showSerName val="0"/>
          <c:showPercent val="0"/>
          <c:showBubbleSize val="0"/>
        </c:dLbls>
        <c:gapWidth val="219"/>
        <c:overlap val="-27"/>
        <c:axId val="683591936"/>
        <c:axId val="683586176"/>
      </c:barChart>
      <c:catAx>
        <c:axId val="683591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683586176"/>
        <c:crosses val="autoZero"/>
        <c:auto val="1"/>
        <c:lblAlgn val="ctr"/>
        <c:lblOffset val="100"/>
        <c:noMultiLvlLbl val="0"/>
      </c:catAx>
      <c:valAx>
        <c:axId val="6835861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683591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15875"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 Sales Analysis.xlsx]Pivot Table!PivotTable8</c:name>
    <c:fmtId val="6"/>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a:solidFill>
                  <a:schemeClr val="accent6">
                    <a:lumMod val="50000"/>
                  </a:schemeClr>
                </a:solidFill>
              </a:rPr>
              <a:t>Revenue</a:t>
            </a:r>
            <a:r>
              <a:rPr lang="en-US" baseline="0">
                <a:solidFill>
                  <a:schemeClr val="accent6">
                    <a:lumMod val="50000"/>
                  </a:schemeClr>
                </a:solidFill>
              </a:rPr>
              <a:t> by Category</a:t>
            </a:r>
            <a:endParaRPr lang="en-US">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Table'!$B$17</c:f>
              <c:strCache>
                <c:ptCount val="1"/>
                <c:pt idx="0">
                  <c:v>Total</c:v>
                </c:pt>
              </c:strCache>
            </c:strRef>
          </c:tx>
          <c:spPr>
            <a:solidFill>
              <a:schemeClr val="accent6">
                <a:lumMod val="75000"/>
              </a:schemeClr>
            </a:solidFill>
            <a:ln>
              <a:noFill/>
            </a:ln>
            <a:effectLst/>
          </c:spPr>
          <c:invertIfNegative val="0"/>
          <c:cat>
            <c:strRef>
              <c:f>'Pivot Table'!$A$18:$A$25</c:f>
              <c:strCache>
                <c:ptCount val="7"/>
                <c:pt idx="0">
                  <c:v>Cake</c:v>
                </c:pt>
                <c:pt idx="1">
                  <c:v>Colors</c:v>
                </c:pt>
                <c:pt idx="2">
                  <c:v>Mugs</c:v>
                </c:pt>
                <c:pt idx="3">
                  <c:v>Plants</c:v>
                </c:pt>
                <c:pt idx="4">
                  <c:v>Raksha Bandhan</c:v>
                </c:pt>
                <c:pt idx="5">
                  <c:v>Soft Toys</c:v>
                </c:pt>
                <c:pt idx="6">
                  <c:v>Sweets</c:v>
                </c:pt>
              </c:strCache>
            </c:strRef>
          </c:cat>
          <c:val>
            <c:numRef>
              <c:f>'Pivot Table'!$B$18:$B$25</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B4CB-4D5C-B15B-7A78E237AF9B}"/>
            </c:ext>
          </c:extLst>
        </c:ser>
        <c:dLbls>
          <c:showLegendKey val="0"/>
          <c:showVal val="0"/>
          <c:showCatName val="0"/>
          <c:showSerName val="0"/>
          <c:showPercent val="0"/>
          <c:showBubbleSize val="0"/>
        </c:dLbls>
        <c:gapWidth val="150"/>
        <c:overlap val="100"/>
        <c:axId val="683583296"/>
        <c:axId val="683583776"/>
      </c:barChart>
      <c:catAx>
        <c:axId val="683583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683583776"/>
        <c:crosses val="autoZero"/>
        <c:auto val="1"/>
        <c:lblAlgn val="ctr"/>
        <c:lblOffset val="100"/>
        <c:noMultiLvlLbl val="0"/>
      </c:catAx>
      <c:valAx>
        <c:axId val="6835837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683583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15875"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 Sales Analysis.xlsx]Pivot Table!PivotTable10</c:name>
    <c:fmtId val="6"/>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a:solidFill>
                  <a:schemeClr val="accent6">
                    <a:lumMod val="50000"/>
                  </a:schemeClr>
                </a:solidFill>
              </a:rPr>
              <a:t>Revenue</a:t>
            </a:r>
            <a:r>
              <a:rPr lang="en-US" baseline="0">
                <a:solidFill>
                  <a:schemeClr val="accent6">
                    <a:lumMod val="50000"/>
                  </a:schemeClr>
                </a:solidFill>
              </a:rPr>
              <a:t> by Ocassions</a:t>
            </a:r>
            <a:endParaRPr lang="en-US">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Table'!$B$28</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Table'!$A$29:$A$36</c:f>
              <c:strCache>
                <c:ptCount val="7"/>
                <c:pt idx="0">
                  <c:v>All Occasions</c:v>
                </c:pt>
                <c:pt idx="1">
                  <c:v>Anniversary</c:v>
                </c:pt>
                <c:pt idx="2">
                  <c:v>Birthday</c:v>
                </c:pt>
                <c:pt idx="3">
                  <c:v>Diwali</c:v>
                </c:pt>
                <c:pt idx="4">
                  <c:v>Holi</c:v>
                </c:pt>
                <c:pt idx="5">
                  <c:v>Raksha Bandhan</c:v>
                </c:pt>
                <c:pt idx="6">
                  <c:v>Valentine's Day</c:v>
                </c:pt>
              </c:strCache>
            </c:strRef>
          </c:cat>
          <c:val>
            <c:numRef>
              <c:f>'Pivot Table'!$B$29:$B$36</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49C9-458E-8A42-EFA98E6C5529}"/>
            </c:ext>
          </c:extLst>
        </c:ser>
        <c:dLbls>
          <c:dLblPos val="inEnd"/>
          <c:showLegendKey val="0"/>
          <c:showVal val="1"/>
          <c:showCatName val="0"/>
          <c:showSerName val="0"/>
          <c:showPercent val="0"/>
          <c:showBubbleSize val="0"/>
        </c:dLbls>
        <c:gapWidth val="150"/>
        <c:overlap val="100"/>
        <c:axId val="683475296"/>
        <c:axId val="683476256"/>
      </c:barChart>
      <c:catAx>
        <c:axId val="683475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683476256"/>
        <c:crosses val="autoZero"/>
        <c:auto val="1"/>
        <c:lblAlgn val="ctr"/>
        <c:lblOffset val="100"/>
        <c:noMultiLvlLbl val="0"/>
      </c:catAx>
      <c:valAx>
        <c:axId val="683476256"/>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683475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15875"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 Sales Analysis.xlsx]Pivot Table!PivotTable11</c:name>
    <c:fmtId val="13"/>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a:solidFill>
                  <a:schemeClr val="accent6">
                    <a:lumMod val="50000"/>
                  </a:schemeClr>
                </a:solidFill>
              </a:rPr>
              <a:t>Revenue</a:t>
            </a:r>
            <a:r>
              <a:rPr lang="en-US" baseline="0">
                <a:solidFill>
                  <a:schemeClr val="accent6">
                    <a:lumMod val="50000"/>
                  </a:schemeClr>
                </a:solidFill>
              </a:rPr>
              <a:t> by Hours (Order Time)</a:t>
            </a:r>
            <a:endParaRPr lang="en-US">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75000"/>
              </a:schemeClr>
            </a:solidFill>
            <a:round/>
          </a:ln>
          <a:effectLst/>
        </c:spPr>
        <c:marker>
          <c:symbol val="circle"/>
          <c:size val="5"/>
          <c:spPr>
            <a:solidFill>
              <a:schemeClr val="accent6">
                <a:lumMod val="75000"/>
              </a:schemeClr>
            </a:solidFill>
            <a:ln w="9525">
              <a:solidFill>
                <a:schemeClr val="accent6">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Table'!$E$28</c:f>
              <c:strCache>
                <c:ptCount val="1"/>
                <c:pt idx="0">
                  <c:v>Total</c:v>
                </c:pt>
              </c:strCache>
            </c:strRef>
          </c:tx>
          <c:spPr>
            <a:ln w="28575" cap="rnd">
              <a:solidFill>
                <a:schemeClr val="accent6">
                  <a:lumMod val="75000"/>
                </a:schemeClr>
              </a:solidFill>
              <a:round/>
            </a:ln>
            <a:effectLst/>
          </c:spPr>
          <c:marker>
            <c:symbol val="circle"/>
            <c:size val="5"/>
            <c:spPr>
              <a:solidFill>
                <a:schemeClr val="accent6">
                  <a:lumMod val="75000"/>
                </a:schemeClr>
              </a:solidFill>
              <a:ln w="9525">
                <a:solidFill>
                  <a:schemeClr val="accent6">
                    <a:lumMod val="75000"/>
                  </a:schemeClr>
                </a:solidFill>
              </a:ln>
              <a:effectLst/>
            </c:spPr>
          </c:marker>
          <c:cat>
            <c:strRef>
              <c:f>'Pivot Table'!$D$29:$D$53</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Table'!$E$29:$E$53</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7581-4237-BB9A-A723C38C3EB4}"/>
            </c:ext>
          </c:extLst>
        </c:ser>
        <c:dLbls>
          <c:showLegendKey val="0"/>
          <c:showVal val="0"/>
          <c:showCatName val="0"/>
          <c:showSerName val="0"/>
          <c:showPercent val="0"/>
          <c:showBubbleSize val="0"/>
        </c:dLbls>
        <c:marker val="1"/>
        <c:smooth val="0"/>
        <c:axId val="683484896"/>
        <c:axId val="683485376"/>
      </c:lineChart>
      <c:catAx>
        <c:axId val="68348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683485376"/>
        <c:crosses val="autoZero"/>
        <c:auto val="1"/>
        <c:lblAlgn val="ctr"/>
        <c:lblOffset val="100"/>
        <c:tickLblSkip val="2"/>
        <c:noMultiLvlLbl val="0"/>
      </c:catAx>
      <c:valAx>
        <c:axId val="6834853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683484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15875"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550752</xdr:colOff>
      <xdr:row>19</xdr:row>
      <xdr:rowOff>173526</xdr:rowOff>
    </xdr:from>
    <xdr:to>
      <xdr:col>13</xdr:col>
      <xdr:colOff>376989</xdr:colOff>
      <xdr:row>34</xdr:row>
      <xdr:rowOff>85487</xdr:rowOff>
    </xdr:to>
    <xdr:graphicFrame macro="">
      <xdr:nvGraphicFramePr>
        <xdr:cNvPr id="3" name="Chart 2">
          <a:extLst>
            <a:ext uri="{FF2B5EF4-FFF2-40B4-BE49-F238E27FC236}">
              <a16:creationId xmlns:a16="http://schemas.microsoft.com/office/drawing/2014/main" id="{CCD45AC1-B49B-4CE8-8B58-FC674272F1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433736</xdr:colOff>
      <xdr:row>19</xdr:row>
      <xdr:rowOff>166057</xdr:rowOff>
    </xdr:from>
    <xdr:to>
      <xdr:col>20</xdr:col>
      <xdr:colOff>259974</xdr:colOff>
      <xdr:row>34</xdr:row>
      <xdr:rowOff>78018</xdr:rowOff>
    </xdr:to>
    <xdr:graphicFrame macro="">
      <xdr:nvGraphicFramePr>
        <xdr:cNvPr id="4" name="Chart 3">
          <a:extLst>
            <a:ext uri="{FF2B5EF4-FFF2-40B4-BE49-F238E27FC236}">
              <a16:creationId xmlns:a16="http://schemas.microsoft.com/office/drawing/2014/main" id="{BB5C63C7-C283-4416-9C26-5C4FCE4F65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48436</xdr:colOff>
      <xdr:row>19</xdr:row>
      <xdr:rowOff>165975</xdr:rowOff>
    </xdr:from>
    <xdr:to>
      <xdr:col>6</xdr:col>
      <xdr:colOff>485783</xdr:colOff>
      <xdr:row>34</xdr:row>
      <xdr:rowOff>77936</xdr:rowOff>
    </xdr:to>
    <xdr:graphicFrame macro="">
      <xdr:nvGraphicFramePr>
        <xdr:cNvPr id="6" name="Chart 5">
          <a:extLst>
            <a:ext uri="{FF2B5EF4-FFF2-40B4-BE49-F238E27FC236}">
              <a16:creationId xmlns:a16="http://schemas.microsoft.com/office/drawing/2014/main" id="{301DEE6C-7EA3-4B2D-B461-5D67046CD4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60582</xdr:colOff>
      <xdr:row>5</xdr:row>
      <xdr:rowOff>23389</xdr:rowOff>
    </xdr:from>
    <xdr:to>
      <xdr:col>6</xdr:col>
      <xdr:colOff>497929</xdr:colOff>
      <xdr:row>19</xdr:row>
      <xdr:rowOff>116419</xdr:rowOff>
    </xdr:to>
    <xdr:graphicFrame macro="">
      <xdr:nvGraphicFramePr>
        <xdr:cNvPr id="7" name="Chart 6">
          <a:extLst>
            <a:ext uri="{FF2B5EF4-FFF2-40B4-BE49-F238E27FC236}">
              <a16:creationId xmlns:a16="http://schemas.microsoft.com/office/drawing/2014/main" id="{82C80FB8-2881-4932-AD6E-BF649685B1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452673</xdr:colOff>
      <xdr:row>5</xdr:row>
      <xdr:rowOff>16149</xdr:rowOff>
    </xdr:from>
    <xdr:to>
      <xdr:col>20</xdr:col>
      <xdr:colOff>242911</xdr:colOff>
      <xdr:row>19</xdr:row>
      <xdr:rowOff>109179</xdr:rowOff>
    </xdr:to>
    <xdr:graphicFrame macro="">
      <xdr:nvGraphicFramePr>
        <xdr:cNvPr id="8" name="Chart 7">
          <a:extLst>
            <a:ext uri="{FF2B5EF4-FFF2-40B4-BE49-F238E27FC236}">
              <a16:creationId xmlns:a16="http://schemas.microsoft.com/office/drawing/2014/main" id="{26A91699-35CB-45D8-9233-C6A4DF0113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568105</xdr:colOff>
      <xdr:row>5</xdr:row>
      <xdr:rowOff>23537</xdr:rowOff>
    </xdr:from>
    <xdr:to>
      <xdr:col>13</xdr:col>
      <xdr:colOff>394342</xdr:colOff>
      <xdr:row>19</xdr:row>
      <xdr:rowOff>116567</xdr:rowOff>
    </xdr:to>
    <xdr:graphicFrame macro="">
      <xdr:nvGraphicFramePr>
        <xdr:cNvPr id="9" name="Chart 8">
          <a:extLst>
            <a:ext uri="{FF2B5EF4-FFF2-40B4-BE49-F238E27FC236}">
              <a16:creationId xmlns:a16="http://schemas.microsoft.com/office/drawing/2014/main" id="{67030560-EB67-4F82-B587-8FC262E2F1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347643</xdr:colOff>
      <xdr:row>21</xdr:row>
      <xdr:rowOff>143345</xdr:rowOff>
    </xdr:from>
    <xdr:to>
      <xdr:col>22</xdr:col>
      <xdr:colOff>493425</xdr:colOff>
      <xdr:row>34</xdr:row>
      <xdr:rowOff>98079</xdr:rowOff>
    </xdr:to>
    <mc:AlternateContent xmlns:mc="http://schemas.openxmlformats.org/markup-compatibility/2006" xmlns:a14="http://schemas.microsoft.com/office/drawing/2010/main">
      <mc:Choice Requires="a14">
        <xdr:graphicFrame macro="">
          <xdr:nvGraphicFramePr>
            <xdr:cNvPr id="2" name="Occasion">
              <a:extLst>
                <a:ext uri="{FF2B5EF4-FFF2-40B4-BE49-F238E27FC236}">
                  <a16:creationId xmlns:a16="http://schemas.microsoft.com/office/drawing/2014/main" id="{C46FC811-9D90-485A-A0C8-9788FBD44492}"/>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2569821" y="3945800"/>
              <a:ext cx="1368000" cy="23086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173525</xdr:colOff>
      <xdr:row>0</xdr:row>
      <xdr:rowOff>60355</xdr:rowOff>
    </xdr:from>
    <xdr:to>
      <xdr:col>9</xdr:col>
      <xdr:colOff>320198</xdr:colOff>
      <xdr:row>4</xdr:row>
      <xdr:rowOff>128078</xdr:rowOff>
    </xdr:to>
    <xdr:sp macro="" textlink="'Pivot Table'!A40">
      <xdr:nvSpPr>
        <xdr:cNvPr id="5" name="Rectangle: Rounded Corners 4">
          <a:extLst>
            <a:ext uri="{FF2B5EF4-FFF2-40B4-BE49-F238E27FC236}">
              <a16:creationId xmlns:a16="http://schemas.microsoft.com/office/drawing/2014/main" id="{DF97F204-3787-A5D7-6F5C-2A77021ED8F3}"/>
            </a:ext>
          </a:extLst>
        </xdr:cNvPr>
        <xdr:cNvSpPr/>
      </xdr:nvSpPr>
      <xdr:spPr>
        <a:xfrm>
          <a:off x="3840178" y="60355"/>
          <a:ext cx="1980000" cy="792000"/>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84C6C73-7CC0-41B0-A47F-F78A28E0A3F3}" type="TxLink">
            <a:rPr lang="en-US" sz="1800" b="0" i="0" u="none" strike="noStrike">
              <a:solidFill>
                <a:schemeClr val="accent6">
                  <a:lumMod val="50000"/>
                </a:schemeClr>
              </a:solidFill>
              <a:latin typeface="Calibri"/>
              <a:ea typeface="Calibri"/>
              <a:cs typeface="Calibri"/>
            </a:rPr>
            <a:pPr algn="ctr"/>
            <a:t>1000</a:t>
          </a:fld>
          <a:r>
            <a:rPr lang="en-US" sz="1800" b="0" i="0" u="none" strike="noStrike">
              <a:solidFill>
                <a:schemeClr val="accent6">
                  <a:lumMod val="50000"/>
                </a:schemeClr>
              </a:solidFill>
              <a:latin typeface="Calibri"/>
              <a:ea typeface="Calibri"/>
              <a:cs typeface="Calibri"/>
            </a:rPr>
            <a:t> </a:t>
          </a:r>
        </a:p>
        <a:p>
          <a:pPr algn="ctr"/>
          <a:r>
            <a:rPr lang="en-US" sz="1800" b="0" i="0" u="none" strike="noStrike">
              <a:solidFill>
                <a:schemeClr val="accent6">
                  <a:lumMod val="50000"/>
                </a:schemeClr>
              </a:solidFill>
              <a:latin typeface="Calibri"/>
              <a:ea typeface="Calibri"/>
              <a:cs typeface="Calibri"/>
            </a:rPr>
            <a:t>Total Orders</a:t>
          </a:r>
          <a:endParaRPr lang="en-IN" sz="1800">
            <a:solidFill>
              <a:schemeClr val="accent6">
                <a:lumMod val="50000"/>
              </a:schemeClr>
            </a:solidFill>
          </a:endParaRPr>
        </a:p>
      </xdr:txBody>
    </xdr:sp>
    <xdr:clientData/>
  </xdr:twoCellAnchor>
  <xdr:twoCellAnchor>
    <xdr:from>
      <xdr:col>9</xdr:col>
      <xdr:colOff>430041</xdr:colOff>
      <xdr:row>0</xdr:row>
      <xdr:rowOff>67901</xdr:rowOff>
    </xdr:from>
    <xdr:to>
      <xdr:col>12</xdr:col>
      <xdr:colOff>576714</xdr:colOff>
      <xdr:row>4</xdr:row>
      <xdr:rowOff>135624</xdr:rowOff>
    </xdr:to>
    <xdr:sp macro="" textlink="'Pivot Table'!A43">
      <xdr:nvSpPr>
        <xdr:cNvPr id="10" name="Rectangle: Rounded Corners 9">
          <a:extLst>
            <a:ext uri="{FF2B5EF4-FFF2-40B4-BE49-F238E27FC236}">
              <a16:creationId xmlns:a16="http://schemas.microsoft.com/office/drawing/2014/main" id="{2787842C-3B6D-4739-A05D-3759AF03FDFD}"/>
            </a:ext>
          </a:extLst>
        </xdr:cNvPr>
        <xdr:cNvSpPr/>
      </xdr:nvSpPr>
      <xdr:spPr>
        <a:xfrm>
          <a:off x="5930021" y="67901"/>
          <a:ext cx="1980000" cy="792000"/>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77171F5-99AE-40C4-A8DE-2D8BBDD6EA1E}" type="TxLink">
            <a:rPr lang="en-US" sz="1800" b="0" i="0" u="none" strike="noStrike">
              <a:solidFill>
                <a:schemeClr val="accent6">
                  <a:lumMod val="50000"/>
                </a:schemeClr>
              </a:solidFill>
              <a:latin typeface="Calibri"/>
              <a:ea typeface="Calibri"/>
              <a:cs typeface="Calibri"/>
            </a:rPr>
            <a:pPr algn="ctr"/>
            <a:t>₹ 35,20,984.00</a:t>
          </a:fld>
          <a:endParaRPr lang="en-US" sz="1800" b="0" i="0" u="none" strike="noStrike">
            <a:solidFill>
              <a:schemeClr val="accent6">
                <a:lumMod val="50000"/>
              </a:schemeClr>
            </a:solidFill>
            <a:latin typeface="Calibri"/>
            <a:ea typeface="Calibri"/>
            <a:cs typeface="Calibri"/>
          </a:endParaRPr>
        </a:p>
        <a:p>
          <a:pPr algn="ctr"/>
          <a:r>
            <a:rPr lang="en-US" sz="1800" b="0" i="0" u="none" strike="noStrike">
              <a:solidFill>
                <a:schemeClr val="accent6">
                  <a:lumMod val="50000"/>
                </a:schemeClr>
              </a:solidFill>
              <a:latin typeface="Calibri"/>
              <a:ea typeface="Calibri"/>
              <a:cs typeface="Calibri"/>
            </a:rPr>
            <a:t>Total Revenue</a:t>
          </a:r>
          <a:endParaRPr lang="en-IN" sz="1800">
            <a:solidFill>
              <a:schemeClr val="accent6">
                <a:lumMod val="50000"/>
              </a:schemeClr>
            </a:solidFill>
          </a:endParaRPr>
        </a:p>
      </xdr:txBody>
    </xdr:sp>
    <xdr:clientData/>
  </xdr:twoCellAnchor>
  <xdr:twoCellAnchor>
    <xdr:from>
      <xdr:col>13</xdr:col>
      <xdr:colOff>60355</xdr:colOff>
      <xdr:row>0</xdr:row>
      <xdr:rowOff>52813</xdr:rowOff>
    </xdr:from>
    <xdr:to>
      <xdr:col>16</xdr:col>
      <xdr:colOff>387028</xdr:colOff>
      <xdr:row>4</xdr:row>
      <xdr:rowOff>120536</xdr:rowOff>
    </xdr:to>
    <xdr:sp macro="" textlink="'Pivot Table'!A46">
      <xdr:nvSpPr>
        <xdr:cNvPr id="11" name="Rectangle: Rounded Corners 10">
          <a:extLst>
            <a:ext uri="{FF2B5EF4-FFF2-40B4-BE49-F238E27FC236}">
              <a16:creationId xmlns:a16="http://schemas.microsoft.com/office/drawing/2014/main" id="{ED19A857-C91A-445E-9F90-F9EB70521D2F}"/>
            </a:ext>
          </a:extLst>
        </xdr:cNvPr>
        <xdr:cNvSpPr/>
      </xdr:nvSpPr>
      <xdr:spPr>
        <a:xfrm>
          <a:off x="8004771" y="52813"/>
          <a:ext cx="2160000" cy="792000"/>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758A83B-8752-4970-A967-E248F2CB1952}" type="TxLink">
            <a:rPr lang="en-US" sz="1800" b="0" i="0" u="none" strike="noStrike">
              <a:solidFill>
                <a:schemeClr val="accent6">
                  <a:lumMod val="50000"/>
                </a:schemeClr>
              </a:solidFill>
              <a:latin typeface="Calibri"/>
              <a:ea typeface="Calibri"/>
              <a:cs typeface="Calibri"/>
            </a:rPr>
            <a:pPr algn="ctr"/>
            <a:t>5.53</a:t>
          </a:fld>
          <a:endParaRPr lang="en-US" sz="1800" b="0" i="0" u="none" strike="noStrike">
            <a:solidFill>
              <a:schemeClr val="accent6">
                <a:lumMod val="50000"/>
              </a:schemeClr>
            </a:solidFill>
            <a:latin typeface="Calibri"/>
            <a:ea typeface="Calibri"/>
            <a:cs typeface="Calibri"/>
          </a:endParaRPr>
        </a:p>
        <a:p>
          <a:pPr algn="ctr"/>
          <a:r>
            <a:rPr lang="en-US" sz="1800" b="0" i="0" u="none" strike="noStrike">
              <a:solidFill>
                <a:schemeClr val="accent6">
                  <a:lumMod val="50000"/>
                </a:schemeClr>
              </a:solidFill>
              <a:latin typeface="Calibri"/>
              <a:ea typeface="Calibri"/>
              <a:cs typeface="Calibri"/>
            </a:rPr>
            <a:t>Order-Delivery Time</a:t>
          </a:r>
          <a:endParaRPr lang="en-IN" sz="1800">
            <a:solidFill>
              <a:schemeClr val="accent6">
                <a:lumMod val="50000"/>
              </a:schemeClr>
            </a:solidFill>
          </a:endParaRPr>
        </a:p>
      </xdr:txBody>
    </xdr:sp>
    <xdr:clientData/>
  </xdr:twoCellAnchor>
  <xdr:twoCellAnchor>
    <xdr:from>
      <xdr:col>16</xdr:col>
      <xdr:colOff>482852</xdr:colOff>
      <xdr:row>0</xdr:row>
      <xdr:rowOff>52812</xdr:rowOff>
    </xdr:from>
    <xdr:to>
      <xdr:col>20</xdr:col>
      <xdr:colOff>18417</xdr:colOff>
      <xdr:row>4</xdr:row>
      <xdr:rowOff>120535</xdr:rowOff>
    </xdr:to>
    <xdr:sp macro="" textlink="'Pivot Table'!A49">
      <xdr:nvSpPr>
        <xdr:cNvPr id="12" name="Rectangle: Rounded Corners 11">
          <a:extLst>
            <a:ext uri="{FF2B5EF4-FFF2-40B4-BE49-F238E27FC236}">
              <a16:creationId xmlns:a16="http://schemas.microsoft.com/office/drawing/2014/main" id="{0E26D3A7-DFF3-4238-B36D-96B62816DADB}"/>
            </a:ext>
          </a:extLst>
        </xdr:cNvPr>
        <xdr:cNvSpPr/>
      </xdr:nvSpPr>
      <xdr:spPr>
        <a:xfrm>
          <a:off x="10260595" y="52812"/>
          <a:ext cx="1980000" cy="792000"/>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E1B5940-FAB9-4784-A8AD-22766775E174}" type="TxLink">
            <a:rPr lang="en-US" sz="1600" b="0" i="0" u="none" strike="noStrike">
              <a:solidFill>
                <a:schemeClr val="accent6">
                  <a:lumMod val="50000"/>
                </a:schemeClr>
              </a:solidFill>
              <a:latin typeface="Calibri"/>
              <a:ea typeface="Calibri"/>
              <a:cs typeface="Calibri"/>
            </a:rPr>
            <a:pPr algn="ctr"/>
            <a:t>₹ 3,520.98</a:t>
          </a:fld>
          <a:endParaRPr lang="en-US" sz="1600" b="0" i="0" u="none" strike="noStrike">
            <a:solidFill>
              <a:schemeClr val="accent6">
                <a:lumMod val="50000"/>
              </a:schemeClr>
            </a:solidFill>
            <a:latin typeface="Calibri"/>
            <a:ea typeface="Calibri"/>
            <a:cs typeface="Calibri"/>
          </a:endParaRPr>
        </a:p>
        <a:p>
          <a:pPr algn="ctr"/>
          <a:r>
            <a:rPr lang="en-US" sz="1600" b="0" i="0" u="none" strike="noStrike">
              <a:solidFill>
                <a:schemeClr val="accent6">
                  <a:lumMod val="50000"/>
                </a:schemeClr>
              </a:solidFill>
              <a:latin typeface="Calibri"/>
              <a:ea typeface="Calibri"/>
              <a:cs typeface="Calibri"/>
            </a:rPr>
            <a:t>Avg. Customer Spent</a:t>
          </a:r>
          <a:endParaRPr lang="en-IN" sz="1600">
            <a:solidFill>
              <a:schemeClr val="accent6">
                <a:lumMod val="50000"/>
              </a:schemeClr>
            </a:solidFill>
          </a:endParaRPr>
        </a:p>
      </xdr:txBody>
    </xdr:sp>
    <xdr:clientData/>
  </xdr:twoCellAnchor>
  <xdr:twoCellAnchor>
    <xdr:from>
      <xdr:col>0</xdr:col>
      <xdr:colOff>113169</xdr:colOff>
      <xdr:row>0</xdr:row>
      <xdr:rowOff>75447</xdr:rowOff>
    </xdr:from>
    <xdr:to>
      <xdr:col>5</xdr:col>
      <xdr:colOff>437585</xdr:colOff>
      <xdr:row>4</xdr:row>
      <xdr:rowOff>143170</xdr:rowOff>
    </xdr:to>
    <xdr:sp macro="" textlink="'Pivot Table'!A40">
      <xdr:nvSpPr>
        <xdr:cNvPr id="13" name="Rectangle: Rounded Corners 12">
          <a:extLst>
            <a:ext uri="{FF2B5EF4-FFF2-40B4-BE49-F238E27FC236}">
              <a16:creationId xmlns:a16="http://schemas.microsoft.com/office/drawing/2014/main" id="{770540FA-5BA5-4590-8CA9-56D7E3BEE0D5}"/>
            </a:ext>
          </a:extLst>
        </xdr:cNvPr>
        <xdr:cNvSpPr/>
      </xdr:nvSpPr>
      <xdr:spPr>
        <a:xfrm>
          <a:off x="113169" y="75447"/>
          <a:ext cx="3379961" cy="792000"/>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3200" b="1">
              <a:solidFill>
                <a:schemeClr val="accent6">
                  <a:lumMod val="50000"/>
                </a:schemeClr>
              </a:solidFill>
            </a:rPr>
            <a:t>Sales</a:t>
          </a:r>
          <a:r>
            <a:rPr lang="en-IN" sz="3200" b="1" baseline="0">
              <a:solidFill>
                <a:schemeClr val="accent6">
                  <a:lumMod val="50000"/>
                </a:schemeClr>
              </a:solidFill>
            </a:rPr>
            <a:t> Analysis</a:t>
          </a:r>
          <a:endParaRPr lang="en-IN" sz="3200" b="1">
            <a:solidFill>
              <a:schemeClr val="accent6">
                <a:lumMod val="50000"/>
              </a:schemeClr>
            </a:solidFill>
          </a:endParaRPr>
        </a:p>
      </xdr:txBody>
    </xdr:sp>
    <xdr:clientData/>
  </xdr:twoCellAnchor>
  <xdr:twoCellAnchor editAs="oneCell">
    <xdr:from>
      <xdr:col>0</xdr:col>
      <xdr:colOff>286693</xdr:colOff>
      <xdr:row>0</xdr:row>
      <xdr:rowOff>113168</xdr:rowOff>
    </xdr:from>
    <xdr:to>
      <xdr:col>1</xdr:col>
      <xdr:colOff>347049</xdr:colOff>
      <xdr:row>4</xdr:row>
      <xdr:rowOff>82990</xdr:rowOff>
    </xdr:to>
    <xdr:pic>
      <xdr:nvPicPr>
        <xdr:cNvPr id="15" name="Picture 14">
          <a:extLst>
            <a:ext uri="{FF2B5EF4-FFF2-40B4-BE49-F238E27FC236}">
              <a16:creationId xmlns:a16="http://schemas.microsoft.com/office/drawing/2014/main" id="{72C62459-3E0E-6DA7-D22C-2741C515DF7C}"/>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86693" y="113168"/>
          <a:ext cx="671465" cy="694099"/>
        </a:xfrm>
        <a:prstGeom prst="rect">
          <a:avLst/>
        </a:prstGeom>
      </xdr:spPr>
    </xdr:pic>
    <xdr:clientData/>
  </xdr:twoCellAnchor>
  <xdr:twoCellAnchor editAs="oneCell">
    <xdr:from>
      <xdr:col>20</xdr:col>
      <xdr:colOff>354595</xdr:colOff>
      <xdr:row>9</xdr:row>
      <xdr:rowOff>165980</xdr:rowOff>
    </xdr:from>
    <xdr:to>
      <xdr:col>22</xdr:col>
      <xdr:colOff>500377</xdr:colOff>
      <xdr:row>21</xdr:row>
      <xdr:rowOff>82991</xdr:rowOff>
    </xdr:to>
    <mc:AlternateContent xmlns:mc="http://schemas.openxmlformats.org/markup-compatibility/2006" xmlns:a14="http://schemas.microsoft.com/office/drawing/2010/main">
      <mc:Choice Requires="a14">
        <xdr:graphicFrame macro="">
          <xdr:nvGraphicFramePr>
            <xdr:cNvPr id="16" name="Category">
              <a:extLst>
                <a:ext uri="{FF2B5EF4-FFF2-40B4-BE49-F238E27FC236}">
                  <a16:creationId xmlns:a16="http://schemas.microsoft.com/office/drawing/2014/main" id="{C1495EB7-1DDD-4AB6-A94D-8A2E9231898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576773" y="1795604"/>
              <a:ext cx="1368000" cy="20898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294239</xdr:colOff>
      <xdr:row>1</xdr:row>
      <xdr:rowOff>60357</xdr:rowOff>
    </xdr:from>
    <xdr:to>
      <xdr:col>22</xdr:col>
      <xdr:colOff>512021</xdr:colOff>
      <xdr:row>9</xdr:row>
      <xdr:rowOff>51802</xdr:rowOff>
    </xdr:to>
    <mc:AlternateContent xmlns:mc="http://schemas.openxmlformats.org/markup-compatibility/2006" xmlns:tsle="http://schemas.microsoft.com/office/drawing/2012/timeslicer">
      <mc:Choice Requires="tsle">
        <xdr:graphicFrame macro="">
          <xdr:nvGraphicFramePr>
            <xdr:cNvPr id="18" name="Order_Date">
              <a:extLst>
                <a:ext uri="{FF2B5EF4-FFF2-40B4-BE49-F238E27FC236}">
                  <a16:creationId xmlns:a16="http://schemas.microsoft.com/office/drawing/2014/main" id="{08F96DE8-FE3E-4A35-A67F-C9BE04DB592B}"/>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2516417" y="241426"/>
              <a:ext cx="1440000" cy="1440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gan Singh" refreshedDate="46061.978113888887" backgroundQuery="1" createdVersion="8" refreshedVersion="8" minRefreshableVersion="3" recordCount="0" supportSubquery="1" supportAdvancedDrill="1" xr:uid="{73E47F7C-39FB-48CC-8AC7-BD0562F7E704}">
  <cacheSource type="external" connectionId="9"/>
  <cacheFields count="1">
    <cacheField name="[Measures].[Average of Revenue]" caption="Average of Revenue" numFmtId="0" hierarchy="45" level="32767"/>
  </cacheFields>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b/w_order_delivery]" caption="diff b/w_order_delivery" attribute="1" defaultMemberUniqueName="[Orders].[diff b/w_order_delivery].[All]" allUniqueName="[Orders].[diff b/w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 b/w_order_delivery]" caption="Sum of diff b/w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b/w_order_delivery]" caption="Average of diff b/w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ustomer" uniqueName="[Customer]" caption="Customer"/>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 caption="Customer"/>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gan Singh" refreshedDate="46062.00483888889" backgroundQuery="1" createdVersion="8" refreshedVersion="8" minRefreshableVersion="3" recordCount="0" supportSubquery="1" supportAdvancedDrill="1" xr:uid="{7BCB1A40-6CF6-4642-AC8C-C5CB9AEAFFEC}">
  <cacheSource type="external" connectionId="9"/>
  <cacheFields count="3">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rder_Time].[Order_Time]" caption="Order_Time" numFmtId="0" hierarchy="19" level="1">
      <sharedItems containsSemiMixedTypes="0" containsNonDate="0" containsString="0"/>
    </cacheField>
  </cacheFields>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2" memberValueDatatype="7" unbalanced="0">
      <fieldsUsage count="2">
        <fieldUsage x="-1"/>
        <fieldUsage x="2"/>
      </fieldsUsage>
    </cacheHierarchy>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b/w_order_delivery]" caption="diff b/w_order_delivery" attribute="1" defaultMemberUniqueName="[Orders].[diff b/w_order_delivery].[All]" allUniqueName="[Orders].[diff b/w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 b/w_order_delivery]" caption="Sum of diff b/w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b/w_order_delivery]" caption="Average of diff b/w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ustomer" uniqueName="[Customer]" caption="Customer"/>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 caption="Customer"/>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gan Singh" refreshedDate="46062.004840624999" backgroundQuery="1" createdVersion="8" refreshedVersion="8" minRefreshableVersion="3" recordCount="0" supportSubquery="1" supportAdvancedDrill="1" xr:uid="{A4035A1D-D672-45F2-81A4-A1C627DE55BF}">
  <cacheSource type="external" connectionId="9"/>
  <cacheFields count="3">
    <cacheField name="[Orders].[Month Name].[Month Name]" caption="Month Name" numFmtId="0" hierarchy="24" level="1">
      <sharedItems count="12">
        <s v="April"/>
        <s v="August"/>
        <s v="December"/>
        <s v="February"/>
        <s v="January"/>
        <s v="July"/>
        <s v="June"/>
        <s v="March"/>
        <s v="May"/>
        <s v="November"/>
        <s v="October"/>
        <s v="September"/>
      </sharedItems>
    </cacheField>
    <cacheField name="[Measures].[Average of diff b/w_order_delivery]" caption="Average of diff b/w_order_delivery" numFmtId="0" hierarchy="44" level="32767"/>
    <cacheField name="[Orders].[Order_Time].[Order_Time]" caption="Order_Time" numFmtId="0" hierarchy="19" level="1">
      <sharedItems containsSemiMixedTypes="0" containsNonDate="0" containsString="0"/>
    </cacheField>
  </cacheFields>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2" memberValueDatatype="7" unbalanced="0">
      <fieldsUsage count="2">
        <fieldUsage x="-1"/>
        <fieldUsage x="2"/>
      </fieldsUsage>
    </cacheHierarchy>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b/w_order_delivery]" caption="diff b/w_order_delivery" attribute="1" defaultMemberUniqueName="[Orders].[diff b/w_order_delivery].[All]" allUniqueName="[Orders].[diff b/w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 b/w_order_delivery]" caption="Sum of diff b/w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b/w_order_delivery]" caption="Average of diff b/w_order_delivery" measure="1" displayFolder="" measureGroup="Orders" count="0" oneField="1" hidden="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ustomer" uniqueName="[Customer]" caption="Customer"/>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 caption="Customer"/>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gan Singh" refreshedDate="46062.009896643518" backgroundQuery="1" createdVersion="8" refreshedVersion="8" minRefreshableVersion="3" recordCount="0" supportSubquery="1" supportAdvancedDrill="1" xr:uid="{0CE2C755-2FFB-44CD-A507-B05D591D7777}">
  <cacheSource type="external" connectionId="9"/>
  <cacheFields count="4">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7">
        <s v="Cake"/>
        <s v="Colors"/>
        <s v="Mugs"/>
        <s v="Plants"/>
        <s v="Raksha Bandhan"/>
        <s v="Soft Toys"/>
        <s v="Sweets"/>
      </sharedItems>
    </cacheField>
    <cacheField name="[Orders].[Order_Time].[Order_Time]" caption="Order_Time" numFmtId="0" hierarchy="19" level="1">
      <sharedItems containsSemiMixedTypes="0" containsNonDate="0" containsString="0"/>
    </cacheField>
  </cacheFields>
  <cacheHierarchies count="49">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fieldsUsage count="2">
        <fieldUsage x="-1"/>
        <fieldUsage x="3"/>
      </fieldsUsage>
    </cacheHierarchy>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 b/w_order_delivery]" caption="diff b/w_order_delivery" attribute="1" defaultMemberUniqueName="[Orders].[diff b/w_order_delivery].[All]" allUniqueName="[Orders].[diff b/w_order_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 b/w_order_delivery]" caption="Sum of diff b/w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b/w_order_delivery]" caption="Average of diff b/w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ustomer" uniqueName="[Customer]" caption="Customer"/>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 caption="Customer"/>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gan Singh" refreshedDate="46062.009897337965" backgroundQuery="1" createdVersion="8" refreshedVersion="8" minRefreshableVersion="3" recordCount="0" supportSubquery="1" supportAdvancedDrill="1" xr:uid="{66463408-B677-4652-893B-5641C0B788B9}">
  <cacheSource type="external" connectionId="9"/>
  <cacheFields count="4">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unt="7">
        <s v="All Occasions"/>
        <s v="Anniversary"/>
        <s v="Birthday"/>
        <s v="Diwali"/>
        <s v="Holi"/>
        <s v="Raksha Bandhan"/>
        <s v="Valentine's Day"/>
      </sharedItems>
    </cacheField>
    <cacheField name="[Orders].[Order_Time].[Order_Time]" caption="Order_Time" numFmtId="0" hierarchy="19" level="1">
      <sharedItems containsSemiMixedTypes="0" containsNonDate="0" containsString="0"/>
    </cacheField>
  </cacheFields>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fieldsUsage count="2">
        <fieldUsage x="-1"/>
        <fieldUsage x="3"/>
      </fieldsUsage>
    </cacheHierarchy>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b/w_order_delivery]" caption="diff b/w_order_delivery" attribute="1" defaultMemberUniqueName="[Orders].[diff b/w_order_delivery].[All]" allUniqueName="[Orders].[diff b/w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 b/w_order_delivery]" caption="Sum of diff b/w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b/w_order_delivery]" caption="Average of diff b/w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ustomer" uniqueName="[Customer]" caption="Customer"/>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 caption="Customer"/>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gan Singh" refreshedDate="46062.009897916665" backgroundQuery="1" createdVersion="8" refreshedVersion="8" minRefreshableVersion="3" recordCount="0" supportSubquery="1" supportAdvancedDrill="1" xr:uid="{423DA943-19A5-4AE8-ACC2-4E36FC0DED41}">
  <cacheSource type="external" connectionId="9"/>
  <cacheFields count="5">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Day Name(Order Date)].[Day Name(Order Date)]" caption="Day Name(Order Date)" numFmtId="0" hierarchy="30" level="1">
      <sharedItems count="7">
        <s v="Friday"/>
        <s v="Monday"/>
        <s v="Saturday"/>
        <s v="Sunday"/>
        <s v="Thursday"/>
        <s v="Tuesday"/>
        <s v="Wednesday"/>
      </sharedItems>
    </cacheField>
    <cacheField name="[Orders].[Hour(Order time)].[Hour(Order time)]" caption="Hour(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 time)].&amp;[0]"/>
            <x15:cachedUniqueName index="1" name="[Orders].[Hour(Order time)].&amp;[1]"/>
            <x15:cachedUniqueName index="2" name="[Orders].[Hour(Order time)].&amp;[2]"/>
            <x15:cachedUniqueName index="3" name="[Orders].[Hour(Order time)].&amp;[3]"/>
            <x15:cachedUniqueName index="4" name="[Orders].[Hour(Order time)].&amp;[4]"/>
            <x15:cachedUniqueName index="5" name="[Orders].[Hour(Order time)].&amp;[5]"/>
            <x15:cachedUniqueName index="6" name="[Orders].[Hour(Order time)].&amp;[6]"/>
            <x15:cachedUniqueName index="7" name="[Orders].[Hour(Order time)].&amp;[7]"/>
            <x15:cachedUniqueName index="8" name="[Orders].[Hour(Order time)].&amp;[8]"/>
            <x15:cachedUniqueName index="9" name="[Orders].[Hour(Order time)].&amp;[9]"/>
            <x15:cachedUniqueName index="10" name="[Orders].[Hour(Order time)].&amp;[10]"/>
            <x15:cachedUniqueName index="11" name="[Orders].[Hour(Order time)].&amp;[11]"/>
            <x15:cachedUniqueName index="12" name="[Orders].[Hour(Order time)].&amp;[12]"/>
            <x15:cachedUniqueName index="13" name="[Orders].[Hour(Order time)].&amp;[13]"/>
            <x15:cachedUniqueName index="14" name="[Orders].[Hour(Order time)].&amp;[14]"/>
            <x15:cachedUniqueName index="15" name="[Orders].[Hour(Order time)].&amp;[15]"/>
            <x15:cachedUniqueName index="16" name="[Orders].[Hour(Order time)].&amp;[16]"/>
            <x15:cachedUniqueName index="17" name="[Orders].[Hour(Order time)].&amp;[17]"/>
            <x15:cachedUniqueName index="18" name="[Orders].[Hour(Order time)].&amp;[18]"/>
            <x15:cachedUniqueName index="19" name="[Orders].[Hour(Order time)].&amp;[19]"/>
            <x15:cachedUniqueName index="20" name="[Orders].[Hour(Order time)].&amp;[20]"/>
            <x15:cachedUniqueName index="21" name="[Orders].[Hour(Order time)].&amp;[21]"/>
            <x15:cachedUniqueName index="22" name="[Orders].[Hour(Order time)].&amp;[22]"/>
            <x15:cachedUniqueName index="23" name="[Orders].[Hour(Order time)].&amp;[23]"/>
          </x15:cachedUniqueNames>
        </ext>
      </extLst>
    </cacheField>
    <cacheField name="[Orders].[Order_Time].[Order_Time]" caption="Order_Time" numFmtId="0" hierarchy="19" level="1">
      <sharedItems containsSemiMixedTypes="0" containsNonDate="0" containsString="0"/>
    </cacheField>
  </cacheFields>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fieldsUsage count="2">
        <fieldUsage x="-1"/>
        <fieldUsage x="4"/>
      </fieldsUsage>
    </cacheHierarchy>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fieldsUsage count="2">
        <fieldUsage x="-1"/>
        <fieldUsage x="3"/>
      </fieldsUsage>
    </cacheHierarchy>
    <cacheHierarchy uniqueName="[Orders].[diff b/w_order_delivery]" caption="diff b/w_order_delivery" attribute="1" defaultMemberUniqueName="[Orders].[diff b/w_order_delivery].[All]" allUniqueName="[Orders].[diff b/w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2" memberValueDatatype="130" unbalanced="0">
      <fieldsUsage count="2">
        <fieldUsage x="-1"/>
        <fieldUsage x="2"/>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 b/w_order_delivery]" caption="Sum of diff b/w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b/w_order_delivery]" caption="Average of diff b/w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ustomer" uniqueName="[Customer]" caption="Customer"/>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 caption="Customer"/>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gan Singh" refreshedDate="46062.00989814815" backgroundQuery="1" createdVersion="8" refreshedVersion="8" minRefreshableVersion="3" recordCount="0" supportSubquery="1" supportAdvancedDrill="1" xr:uid="{5F3C9C1C-CD40-4C49-B4B8-2D51CAFF6659}">
  <cacheSource type="external" connectionId="9"/>
  <cacheFields count="3">
    <cacheField name="[Orders].[Month Name].[Month Name]" caption="Month Name" numFmtId="0" hierarchy="24" level="1">
      <sharedItems count="12">
        <s v="April"/>
        <s v="August"/>
        <s v="December"/>
        <s v="February"/>
        <s v="January"/>
        <s v="July"/>
        <s v="June"/>
        <s v="March"/>
        <s v="May"/>
        <s v="November"/>
        <s v="October"/>
        <s v="September"/>
      </sharedItems>
    </cacheField>
    <cacheField name="[Measures].[Average of Revenue]" caption="Average of Revenue" numFmtId="0" hierarchy="45" level="32767"/>
    <cacheField name="[Orders].[Order_Time].[Order_Time]" caption="Order_Time" numFmtId="0" hierarchy="19" level="1">
      <sharedItems containsSemiMixedTypes="0" containsNonDate="0" containsString="0"/>
    </cacheField>
  </cacheFields>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fieldsUsage count="2">
        <fieldUsage x="-1"/>
        <fieldUsage x="2"/>
      </fieldsUsage>
    </cacheHierarchy>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b/w_order_delivery]" caption="diff b/w_order_delivery" attribute="1" defaultMemberUniqueName="[Orders].[diff b/w_order_delivery].[All]" allUniqueName="[Orders].[diff b/w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 b/w_order_delivery]" caption="Sum of diff b/w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b/w_order_delivery]" caption="Average of diff b/w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ustomer" uniqueName="[Customer]" caption="Customer"/>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 caption="Customer"/>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gan Singh" refreshedDate="46062.009898495373" backgroundQuery="1" createdVersion="8" refreshedVersion="8" minRefreshableVersion="3" recordCount="0" supportSubquery="1" supportAdvancedDrill="1" xr:uid="{6555F2EB-9448-4154-97C7-7F4D51210345}">
  <cacheSource type="external" connectionId="9"/>
  <cacheFields count="3">
    <cacheField name="[Orders].[Month Name].[Month Name]" caption="Month Name" numFmtId="0" hierarchy="24" level="1">
      <sharedItems count="12">
        <s v="April"/>
        <s v="August"/>
        <s v="December"/>
        <s v="February"/>
        <s v="January"/>
        <s v="July"/>
        <s v="June"/>
        <s v="March"/>
        <s v="May"/>
        <s v="November"/>
        <s v="October"/>
        <s v="September"/>
      </sharedItems>
    </cacheField>
    <cacheField name="[Measures].[Count of Order_ID]" caption="Count of Order_ID" numFmtId="0" hierarchy="47" level="32767"/>
    <cacheField name="[Orders].[Order_Time].[Order_Time]" caption="Order_Time" numFmtId="0" hierarchy="19" level="1">
      <sharedItems containsSemiMixedTypes="0" containsNonDate="0" containsString="0"/>
    </cacheField>
  </cacheFields>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fieldsUsage count="2">
        <fieldUsage x="-1"/>
        <fieldUsage x="2"/>
      </fieldsUsage>
    </cacheHierarchy>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b/w_order_delivery]" caption="diff b/w_order_delivery" attribute="1" defaultMemberUniqueName="[Orders].[diff b/w_order_delivery].[All]" allUniqueName="[Orders].[diff b/w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 b/w_order_delivery]" caption="Sum of diff b/w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b/w_order_delivery]" caption="Average of diff b/w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ustomer" uniqueName="[Customer]" caption="Customer"/>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 caption="Customer"/>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gan Singh" refreshedDate="46062.009899189812" backgroundQuery="1" createdVersion="8" refreshedVersion="8" minRefreshableVersion="3" recordCount="0" supportSubquery="1" supportAdvancedDrill="1" xr:uid="{77B83751-89DB-4E5A-A12E-3BE959698088}">
  <cacheSource type="external" connectionId="9"/>
  <cacheFields count="4">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Order_Time].[Order_Time]" caption="Order_Time" numFmtId="0" hierarchy="19" level="1">
      <sharedItems containsSemiMixedTypes="0" containsNonDate="0" containsString="0"/>
    </cacheField>
  </cacheFields>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fieldsUsage count="2">
        <fieldUsage x="-1"/>
        <fieldUsage x="3"/>
      </fieldsUsage>
    </cacheHierarchy>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b/w_order_delivery]" caption="diff b/w_order_delivery" attribute="1" defaultMemberUniqueName="[Orders].[diff b/w_order_delivery].[All]" allUniqueName="[Orders].[diff b/w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 b/w_order_delivery]" caption="Sum of diff b/w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b/w_order_delivery]" caption="Average of diff b/w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ustomer" uniqueName="[Customer]" caption="Customer"/>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 caption="Customer"/>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gan Singh" refreshedDate="46062.009899421297" backgroundQuery="1" createdVersion="8" refreshedVersion="8" minRefreshableVersion="3" recordCount="0" supportSubquery="1" supportAdvancedDrill="1" xr:uid="{F067EB0E-F1CE-42D1-A45F-D7B992F3402F}">
  <cacheSource type="external" connectionId="9"/>
  <cacheFields count="3">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42" level="32767"/>
    <cacheField name="[Orders].[Order_Time].[Order_Time]" caption="Order_Time" numFmtId="0" hierarchy="19" level="1">
      <sharedItems containsSemiMixedTypes="0" containsNonDate="0" containsString="0"/>
    </cacheField>
  </cacheFields>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fieldsUsage count="2">
        <fieldUsage x="-1"/>
        <fieldUsage x="2"/>
      </fieldsUsage>
    </cacheHierarchy>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b/w_order_delivery]" caption="diff b/w_order_delivery" attribute="1" defaultMemberUniqueName="[Orders].[diff b/w_order_delivery].[All]" allUniqueName="[Orders].[diff b/w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 b/w_order_delivery]" caption="Sum of diff b/w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b/w_order_delivery]" caption="Average of diff b/w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ustomer" uniqueName="[Customer]" caption="Customer"/>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 caption="Customer"/>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gan Singh" refreshedDate="46062.009899884259" backgroundQuery="1" createdVersion="8" refreshedVersion="8" minRefreshableVersion="3" recordCount="0" supportSubquery="1" supportAdvancedDrill="1" xr:uid="{D963BCA5-E77B-4AE5-B995-83128306E20C}">
  <cacheSource type="external" connectionId="9"/>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Customer].[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7" level="32767"/>
    <cacheField name="[Orders].[Order_Time].[Order_Time]" caption="Order_Time" numFmtId="0" hierarchy="19" level="1">
      <sharedItems containsSemiMixedTypes="0" containsNonDate="0" containsString="0"/>
    </cacheField>
  </cacheFields>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1"/>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fieldsUsage count="2">
        <fieldUsage x="-1"/>
        <fieldUsage x="3"/>
      </fieldsUsage>
    </cacheHierarchy>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b/w_order_delivery]" caption="diff b/w_order_delivery" attribute="1" defaultMemberUniqueName="[Orders].[diff b/w_order_delivery].[All]" allUniqueName="[Orders].[diff b/w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 b/w_order_delivery]" caption="Sum of diff b/w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b/w_order_delivery]" caption="Average of diff b/w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ustomer" uniqueName="[Customer]" caption="Customer"/>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 caption="Customer"/>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gan Singh" refreshedDate="46061.825993287035" backgroundQuery="1" createdVersion="3" refreshedVersion="8" minRefreshableVersion="3" recordCount="0" supportSubquery="1" supportAdvancedDrill="1" xr:uid="{1394F1B0-06F4-45D6-8235-067A78D5187D}">
  <cacheSource type="external" connectionId="9">
    <extLst>
      <ext xmlns:x14="http://schemas.microsoft.com/office/spreadsheetml/2009/9/main" uri="{F057638F-6D5F-4e77-A914-E7F072B9BCA8}">
        <x14:sourceConnection name="ThisWorkbookDataModel"/>
      </ext>
    </extLst>
  </cacheSource>
  <cacheFields count="0"/>
  <cacheHierarchies count="48">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b/w_order_delivery]" caption="diff b/w_order_delivery" attribute="1" defaultMemberUniqueName="[Orders].[diff b/w_order_delivery].[All]" allUniqueName="[Orders].[diff b/w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 b/w_order_delivery]" caption="Sum of diff b/w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b/w_order_delivery]" caption="Average of diff b/w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064529639"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gan Singh" refreshedDate="46062.006576504631" backgroundQuery="1" createdVersion="3" refreshedVersion="8" minRefreshableVersion="3" recordCount="0" supportSubquery="1" supportAdvancedDrill="1" xr:uid="{988D7B5B-F923-4BAF-9908-D98BEB2C74A2}">
  <cacheSource type="external" connectionId="9">
    <extLst>
      <ext xmlns:x14="http://schemas.microsoft.com/office/spreadsheetml/2009/9/main" uri="{F057638F-6D5F-4e77-A914-E7F072B9BCA8}">
        <x14:sourceConnection name="ThisWorkbookDataModel"/>
      </ext>
    </extLst>
  </cacheSource>
  <cacheFields count="0"/>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b/w_order_delivery]" caption="diff b/w_order_delivery" attribute="1" defaultMemberUniqueName="[Orders].[diff b/w_order_delivery].[All]" allUniqueName="[Orders].[diff b/w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 b/w_order_delivery]" caption="Sum of diff b/w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 b/w_order_delivery]" caption="Average of diff b/w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pivotCacheId="124604252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020433-060D-4B59-B30B-627841A30BE6}" name="PivotTable7" cacheId="2" applyNumberFormats="0" applyBorderFormats="0" applyFontFormats="0" applyPatternFormats="0" applyAlignmentFormats="0" applyWidthHeightFormats="1" dataCaption="Values" tag="8d5495d0-5c3f-4055-ac72-6969ee4fef54" updatedVersion="8" minRefreshableVersion="5" useAutoFormatting="1" subtotalHiddenItems="1" itemPrintTitles="1" createdVersion="8" indent="0" outline="1" outlineData="1" multipleFieldFilters="0" chartFormat="7">
  <location ref="A45:A46" firstHeaderRow="1" firstDataRow="1" firstDataCol="0"/>
  <pivotFields count="3">
    <pivotField allDrilled="1" subtotalTop="0" showAll="0" sortType="ascending" defaultSubtotal="0" defaultAttributeDrillState="1">
      <items count="12">
        <item x="3"/>
        <item x="7"/>
        <item x="0"/>
        <item x="8"/>
        <item x="6"/>
        <item x="5"/>
        <item x="1"/>
        <item x="11"/>
        <item x="10"/>
        <item x="9"/>
        <item x="2"/>
        <item n=" "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 b/w_order_delivery" fld="1" subtotal="average"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f b/w_order_delivery"/>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1">
    <filter fld="2" type="dateBetween" evalOrder="-1" id="9" name="[Orders].[Order_Time]">
      <autoFilter ref="A1">
        <filterColumn colId="0">
          <customFilters and="1">
            <customFilter operator="greaterThanOrEqual" val="245"/>
            <customFilter operator="lessThanOrEqual" val="27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586412-E20E-4AC9-9C8C-F02FF367C0F2}" name="PivotTable11" cacheId="5" applyNumberFormats="0" applyBorderFormats="0" applyFontFormats="0" applyPatternFormats="0" applyAlignmentFormats="0" applyWidthHeightFormats="1" dataCaption="Values" tag="333a0841-2ba7-42d7-aa23-d24f1be795fd" updatedVersion="8" minRefreshableVersion="5" useAutoFormatting="1" subtotalHiddenItems="1" itemPrintTitles="1" createdVersion="8" indent="0" outline="1" outlineData="1" multipleFieldFilters="0" chartFormat="15">
  <location ref="D28:E53" firstHeaderRow="1" firstDataRow="1" firstDataCol="1"/>
  <pivotFields count="5">
    <pivotField dataField="1" subtotalTop="0" showAll="0" defaultSubtotal="0"/>
    <pivotField allDrilled="1" subtotalTop="0" showAll="0" sortType="ascending" defaultSubtotal="0" defaultAttributeDrillState="1">
      <items count="12">
        <item x="3"/>
        <item x="7"/>
        <item x="0"/>
        <item x="8"/>
        <item x="6"/>
        <item x="5"/>
        <item x="1"/>
        <item x="11"/>
        <item x="10"/>
        <item x="9"/>
        <item x="2"/>
        <item n=" " x="4"/>
      </items>
    </pivotField>
    <pivotField allDrilled="1" subtotalTop="0" showAll="0" sortType="ascending" defaultSubtotal="0" defaultAttributeDrillState="1">
      <items count="7">
        <item x="3"/>
        <item x="1"/>
        <item x="5"/>
        <item x="6"/>
        <item x="4"/>
        <item x="0"/>
        <item x="2"/>
      </items>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1">
    <chartFormat chart="1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9" name="[Orders].[Order_Time]">
      <autoFilter ref="A1">
        <filterColumn colId="0">
          <customFilters and="1">
            <customFilter operator="greaterThanOrEqual" val="245"/>
            <customFilter operator="lessThanOrEqual" val="274"/>
          </customFilters>
        </filterColumn>
      </autoFilter>
      <extLst>
        <ext xmlns:x15="http://schemas.microsoft.com/office/spreadsheetml/2010/11/main" uri="{0605FD5F-26C8-4aeb-8148-2DB25E43C511}">
          <x15:pivotFilter useWholeDay="1"/>
        </ext>
      </extLst>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65330A-B14A-446B-A790-6A8E72018C36}" name="PivotTable6" cacheId="9" applyNumberFormats="0" applyBorderFormats="0" applyFontFormats="0" applyPatternFormats="0" applyAlignmentFormats="0" applyWidthHeightFormats="1" dataCaption="Values" tag="8d5495d0-5c3f-4055-ac72-6969ee4fef54" updatedVersion="8" minRefreshableVersion="5" useAutoFormatting="1" subtotalHiddenItems="1" itemPrintTitles="1" createdVersion="8" indent="0" outline="1" outlineData="1" multipleFieldFilters="0" chartFormat="7">
  <location ref="A42:A43" firstHeaderRow="1" firstDataRow="1" firstDataCol="0"/>
  <pivotFields count="3">
    <pivotField allDrilled="1" subtotalTop="0" showAll="0" sortType="ascending" defaultSubtotal="0" defaultAttributeDrillState="1">
      <items count="12">
        <item x="3"/>
        <item x="7"/>
        <item x="0"/>
        <item x="8"/>
        <item x="6"/>
        <item x="5"/>
        <item x="1"/>
        <item x="11"/>
        <item x="10"/>
        <item x="9"/>
        <item x="2"/>
        <item n=" "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1"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1">
    <filter fld="2" type="dateBetween" evalOrder="-1" id="9" name="[Orders].[Order_Time]">
      <autoFilter ref="A1">
        <filterColumn colId="0">
          <customFilters and="1">
            <customFilter operator="greaterThanOrEqual" val="245"/>
            <customFilter operator="lessThanOrEqual" val="27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D1ABCB-2A7E-4B7E-8CED-788C220B7E92}" name="PivotTable10" cacheId="4" applyNumberFormats="0" applyBorderFormats="0" applyFontFormats="0" applyPatternFormats="0" applyAlignmentFormats="0" applyWidthHeightFormats="1" dataCaption="Values" tag="8d5495d0-5c3f-4055-ac72-6969ee4fef54" updatedVersion="8" minRefreshableVersion="5" useAutoFormatting="1" subtotalHiddenItems="1" itemPrintTitles="1" createdVersion="8" indent="0" outline="1" outlineData="1" multipleFieldFilters="0" chartFormat="7">
  <location ref="A28:B36" firstHeaderRow="1" firstDataRow="1" firstDataCol="1"/>
  <pivotFields count="4">
    <pivotField dataField="1" subtotalTop="0" showAll="0" defaultSubtotal="0"/>
    <pivotField allDrilled="1" subtotalTop="0" showAll="0" sortType="ascending" defaultSubtotal="0" defaultAttributeDrillState="1">
      <items count="12">
        <item x="3"/>
        <item x="7"/>
        <item x="0"/>
        <item x="8"/>
        <item x="6"/>
        <item x="5"/>
        <item x="1"/>
        <item x="11"/>
        <item x="10"/>
        <item x="9"/>
        <item x="2"/>
        <item n=" " x="4"/>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6"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9" name="[Orders].[Order_Time]">
      <autoFilter ref="A1">
        <filterColumn colId="0">
          <customFilters and="1">
            <customFilter operator="greaterThanOrEqual" val="245"/>
            <customFilter operator="lessThanOrEqual" val="274"/>
          </customFilters>
        </filterColumn>
      </autoFilter>
      <extLst>
        <ext xmlns:x15="http://schemas.microsoft.com/office/spreadsheetml/2010/11/main" uri="{0605FD5F-26C8-4aeb-8148-2DB25E43C511}">
          <x15:pivotFilter useWholeDay="1"/>
        </ext>
      </extLst>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7F01D0-FA18-46DD-9F8C-0D64EA00AC69}" name="PivotTable1" cacheId="1" applyNumberFormats="0" applyBorderFormats="0" applyFontFormats="0" applyPatternFormats="0" applyAlignmentFormats="0" applyWidthHeightFormats="1" dataCaption="Values" tag="b6ef158e-3783-409d-8f10-d33d627a62d7" updatedVersion="8" minRefreshableVersion="5" useAutoFormatting="1" subtotalHiddenItems="1" itemPrintTitles="1" createdVersion="8" indent="0" outline="1" outlineData="1" multipleFieldFilters="0" chartFormat="26">
  <location ref="A1:B14" firstHeaderRow="1" firstDataRow="1" firstDataCol="1"/>
  <pivotFields count="3">
    <pivotField dataField="1" subtotalTop="0" showAll="0" defaultSubtotal="0"/>
    <pivotField axis="axisRow" allDrilled="1" subtotalTop="0" showAll="0" sortType="ascending" defaultSubtotal="0" defaultAttributeDrillState="1">
      <items count="12">
        <item x="3"/>
        <item x="7"/>
        <item x="0"/>
        <item x="8"/>
        <item x="6"/>
        <item x="5"/>
        <item x="1"/>
        <item x="11"/>
        <item x="10"/>
        <item x="9"/>
        <item x="2"/>
        <item n=" " x="4"/>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10"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9" name="[Orders].[Order_Time]">
      <autoFilter ref="A1">
        <filterColumn colId="0">
          <customFilters and="1">
            <customFilter operator="greaterThanOrEqual" val="245"/>
            <customFilter operator="lessThanOrEqual" val="274"/>
          </customFilters>
        </filterColumn>
      </autoFilter>
      <extLst>
        <ext xmlns:x15="http://schemas.microsoft.com/office/spreadsheetml/2010/11/main" uri="{0605FD5F-26C8-4aeb-8148-2DB25E43C511}">
          <x15:pivotFilter useWholeDay="1"/>
        </ext>
      </extLst>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6E12ADD-C920-40AB-95DC-E3969AD06000}" name="PivotTable3" cacheId="7" applyNumberFormats="0" applyBorderFormats="0" applyFontFormats="0" applyPatternFormats="0" applyAlignmentFormats="0" applyWidthHeightFormats="1" dataCaption="Values" tag="8d5495d0-5c3f-4055-ac72-6969ee4fef54" updatedVersion="8" minRefreshableVersion="5" useAutoFormatting="1" subtotalHiddenItems="1" itemPrintTitles="1" createdVersion="8" indent="0" outline="1" outlineData="1" multipleFieldFilters="0" chartFormat="7">
  <location ref="A39:A40" firstHeaderRow="1" firstDataRow="1" firstDataCol="0"/>
  <pivotFields count="3">
    <pivotField allDrilled="1" subtotalTop="0" showAll="0" sortType="ascending" defaultSubtotal="0" defaultAttributeDrillState="1">
      <items count="12">
        <item x="3"/>
        <item x="7"/>
        <item x="0"/>
        <item x="8"/>
        <item x="6"/>
        <item x="5"/>
        <item x="1"/>
        <item x="11"/>
        <item x="10"/>
        <item x="9"/>
        <item x="2"/>
        <item n=" "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1" subtotal="count"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1">
    <filter fld="2" type="dateBetween" evalOrder="-1" id="9" name="[Orders].[Order_Time]">
      <autoFilter ref="A1">
        <filterColumn colId="0">
          <customFilters and="1">
            <customFilter operator="greaterThanOrEqual" val="245"/>
            <customFilter operator="lessThanOrEqual" val="27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5B912E2-2DD8-477E-B7F9-E95715EB04F2}" name="PivotTable9" cacheId="10" applyNumberFormats="0" applyBorderFormats="0" applyFontFormats="0" applyPatternFormats="0" applyAlignmentFormats="0" applyWidthHeightFormats="1" dataCaption="Values" tag="43aff8c0-be5c-4cec-b2c9-e1d1a242df7f" updatedVersion="8" minRefreshableVersion="5" useAutoFormatting="1" subtotalHiddenItems="1" itemPrintTitles="1" createdVersion="8" indent="0" outline="1" outlineData="1" multipleFieldFilters="0" chartFormat="14">
  <location ref="D14:E25" firstHeaderRow="1" firstDataRow="1" firstDataCol="1"/>
  <pivotFields count="4">
    <pivotField allDrilled="1" subtotalTop="0" showAll="0" sortType="ascending" defaultSubtotal="0" defaultAttributeDrillState="1">
      <items count="12">
        <item x="3"/>
        <item x="7"/>
        <item x="0"/>
        <item x="8"/>
        <item x="6"/>
        <item x="5"/>
        <item x="1"/>
        <item x="11"/>
        <item x="10"/>
        <item x="9"/>
        <item x="2"/>
        <item n=" "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13" format="5"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2">
    <filter fld="3" type="dateBetween" evalOrder="-1" id="10" name="[Orders].[Order_Time]">
      <autoFilter ref="A1">
        <filterColumn colId="0">
          <customFilters and="1">
            <customFilter operator="greaterThanOrEqual" val="245"/>
            <customFilter operator="lessThanOrEqual" val="274"/>
          </customFilters>
        </filterColumn>
      </autoFilter>
      <extLst>
        <ext xmlns:x15="http://schemas.microsoft.com/office/spreadsheetml/2010/11/main" uri="{0605FD5F-26C8-4aeb-8148-2DB25E43C511}">
          <x15:pivotFilter useWholeDay="1"/>
        </ext>
      </extLst>
    </filter>
    <filter fld="1" type="count" id="1" iMeasureHier="47">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C4C7F61-635C-4797-A7CB-3DA35DDC586E}" name="PivotTable5" cacheId="8" applyNumberFormats="0" applyBorderFormats="0" applyFontFormats="0" applyPatternFormats="0" applyAlignmentFormats="0" applyWidthHeightFormats="1" dataCaption="Values" tag="debcf9e1-bebc-4b34-a0b0-6c0c9f4cc68b" updatedVersion="8" minRefreshableVersion="5" useAutoFormatting="1" subtotalHiddenItems="1" itemPrintTitles="1" createdVersion="8" indent="0" outline="1" outlineData="1" multipleFieldFilters="0" chartFormat="23">
  <location ref="D5:E11" firstHeaderRow="1" firstDataRow="1" firstDataCol="1"/>
  <pivotFields count="4">
    <pivotField dataField="1" subtotalTop="0" showAll="0" defaultSubtotal="0"/>
    <pivotField allDrilled="1" subtotalTop="0" showAll="0" sortType="ascending" defaultSubtotal="0" defaultAttributeDrillState="1">
      <items count="12">
        <item x="3"/>
        <item x="7"/>
        <item x="0"/>
        <item x="8"/>
        <item x="6"/>
        <item x="5"/>
        <item x="1"/>
        <item x="11"/>
        <item x="10"/>
        <item x="9"/>
        <item x="2"/>
        <item n=" " x="4"/>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18"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10" name="[Orders].[Order_Time]">
      <autoFilter ref="A1">
        <filterColumn colId="0">
          <customFilters and="1">
            <customFilter operator="greaterThanOrEqual" val="245"/>
            <customFilter operator="lessThanOrEqual" val="274"/>
          </customFilters>
        </filterColumn>
      </autoFilter>
      <extLst>
        <ext xmlns:x15="http://schemas.microsoft.com/office/spreadsheetml/2010/11/main" uri="{0605FD5F-26C8-4aeb-8148-2DB25E43C511}">
          <x15:pivotFilter useWholeDay="1"/>
        </ext>
      </extLst>
    </filter>
    <filter fld="2" type="count" id="1" iMeasureHier="42">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6736E3F-E0B1-4B68-9E62-9BE9D94E0907}" name="PivotTable8" cacheId="3" applyNumberFormats="0" applyBorderFormats="0" applyFontFormats="0" applyPatternFormats="0" applyAlignmentFormats="0" applyWidthHeightFormats="1" dataCaption="Values" tag="47d8ed76-7f4f-499c-9131-7b5cd1c92024" updatedVersion="8" minRefreshableVersion="5" useAutoFormatting="1" subtotalHiddenItems="1" itemPrintTitles="1" createdVersion="8" indent="0" outline="1" outlineData="1" multipleFieldFilters="0" chartFormat="7">
  <location ref="A17:B25" firstHeaderRow="1" firstDataRow="1" firstDataCol="1"/>
  <pivotFields count="4">
    <pivotField dataField="1" subtotalTop="0" showAll="0" defaultSubtotal="0"/>
    <pivotField allDrilled="1" subtotalTop="0" showAll="0" sortType="ascending" defaultSubtotal="0" defaultAttributeDrillState="1">
      <items count="12">
        <item x="3"/>
        <item x="7"/>
        <item x="0"/>
        <item x="8"/>
        <item x="6"/>
        <item x="5"/>
        <item x="1"/>
        <item x="11"/>
        <item x="10"/>
        <item x="9"/>
        <item x="2"/>
        <item n=" " x="4"/>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6"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Equal" evalOrder="-1" id="14" name="[Orders].[Order_Time]">
      <autoFilter ref="A1">
        <filterColumn colId="0">
          <customFilters>
            <customFilter val="290"/>
          </customFilters>
        </filterColumn>
      </autoFilter>
      <extLst>
        <ext xmlns:x15="http://schemas.microsoft.com/office/spreadsheetml/2010/11/main" uri="{0605FD5F-26C8-4aeb-8148-2DB25E43C511}">
          <x15:pivotFilter useWholeDay="1"/>
        </ext>
      </extLst>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68AE57E-B4F0-417A-9DCB-E592E8B09594}" name="PivotTable4" cacheId="0" applyNumberFormats="0" applyBorderFormats="0" applyFontFormats="0" applyPatternFormats="0" applyAlignmentFormats="0" applyWidthHeightFormats="1" dataCaption="Values" tag="3a189754-036b-4e1b-9b6e-47e0cbe3c6c4" updatedVersion="8" minRefreshableVersion="3" useAutoFormatting="1" subtotalHiddenItems="1" itemPrintTitles="1" createdVersion="8" indent="0" outline="1" outlineData="1" multipleFieldFilters="0">
  <location ref="D1:D2" firstHeaderRow="1" firstDataRow="1" firstDataCol="0"/>
  <pivotFields count="1">
    <pivotField dataField="1" subtotalTop="0" showAll="0" defaultSubtotal="0"/>
  </pivotFields>
  <rowItems count="1">
    <i/>
  </rowItems>
  <colItems count="1">
    <i/>
  </colItems>
  <dataFields count="1">
    <dataField name="Average of customer spending" fld="0" subtotal="average"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f b/w_order_delivery"/>
    <pivotHierarchy dragToData="1" caption="Average of customer spending"/>
    <pivotHierarchy dragToData="1"/>
    <pivotHierarchy dragToData="1" caption="Total Order Placed"/>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B65DF36-F7D7-4D52-9317-7396B8676A63}" name="PivotTable13" cacheId="6" applyNumberFormats="0" applyBorderFormats="0" applyFontFormats="0" applyPatternFormats="0" applyAlignmentFormats="0" applyWidthHeightFormats="1" dataCaption="Values" tag="8d5495d0-5c3f-4055-ac72-6969ee4fef54" updatedVersion="8" minRefreshableVersion="5" useAutoFormatting="1" subtotalHiddenItems="1" itemPrintTitles="1" createdVersion="8" indent="0" outline="1" outlineData="1" multipleFieldFilters="0" chartFormat="7">
  <location ref="A48:A49" firstHeaderRow="1" firstDataRow="1" firstDataCol="0"/>
  <pivotFields count="3">
    <pivotField allDrilled="1" subtotalTop="0" showAll="0" sortType="ascending" defaultSubtotal="0" defaultAttributeDrillState="1">
      <items count="12">
        <item x="3"/>
        <item x="7"/>
        <item x="0"/>
        <item x="8"/>
        <item x="6"/>
        <item x="5"/>
        <item x="1"/>
        <item x="11"/>
        <item x="10"/>
        <item x="9"/>
        <item x="2"/>
        <item n=" "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1" subtotal="average"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f b/w_order_delivery"/>
    <pivotHierarchy dragToData="1" caption="Average of Revenue"/>
    <pivotHierarchy dragToData="1"/>
    <pivotHierarchy dragToData="1" caption="Count of Order_ID"/>
    <pivotHierarchy dragToData="1"/>
  </pivotHierarchies>
  <pivotTableStyleInfo name="PivotStyleLight16" showRowHeaders="1" showColHeaders="1" showRowStripes="0" showColStripes="0" showLastColumn="1"/>
  <filters count="1">
    <filter fld="2" type="dateBetween" evalOrder="-1" id="9" name="[Orders].[Order_Time]">
      <autoFilter ref="A1">
        <filterColumn colId="0">
          <customFilters and="1">
            <customFilter operator="greaterThanOrEqual" val="245"/>
            <customFilter operator="lessThanOrEqual" val="27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3882AE3-CF5A-472C-85F0-9B8A52D7631C}"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3F5AB923-5B40-42BE-BA45-C30D196764B7}"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313999CE-8DE9-41F4-BDBA-5F120EA8D175}" autoFormatId="16" applyNumberFormats="0" applyBorderFormats="0" applyFontFormats="0" applyPatternFormats="0" applyAlignmentFormats="0" applyWidthHeightFormats="0">
  <queryTableRefresh nextId="20">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name="diff b/w_order_delivery" tableColumnId="13"/>
      <queryTableField id="14" name="Hour(Delivery time)" tableColumnId="14"/>
      <queryTableField id="15" name="Price (INR)" tableColumnId="15"/>
      <queryTableField id="16" name="Revenue" tableColumnId="16"/>
      <queryTableField id="19" name="Day Name(Order Date)" tableColumnId="19"/>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2648073F-92EF-450E-AA81-C29CFCE05B7B}"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6F7C2337-2D39-4B18-BCAB-D80829454A46}" sourceName="[Orders].[Occasion]">
  <pivotTables>
    <pivotTable tabId="1" name="PivotTable5"/>
    <pivotTable tabId="1" name="PivotTable1"/>
    <pivotTable tabId="1" name="PivotTable11"/>
    <pivotTable tabId="1" name="PivotTable8"/>
    <pivotTable tabId="1" name="PivotTable9"/>
    <pivotTable tabId="1" name="PivotTable13"/>
    <pivotTable tabId="1" name="PivotTable3"/>
    <pivotTable tabId="1" name="PivotTable6"/>
    <pivotTable tabId="1" name="PivotTable7"/>
  </pivotTables>
  <data>
    <olap pivotCacheId="1064529639">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6BDD002-9116-43C5-90EE-DC55CA858CC6}" sourceName="[Products].[Category]">
  <pivotTables>
    <pivotTable tabId="1" name="PivotTable1"/>
    <pivotTable tabId="1" name="PivotTable10"/>
    <pivotTable tabId="1" name="PivotTable11"/>
    <pivotTable tabId="1" name="PivotTable13"/>
    <pivotTable tabId="1" name="PivotTable3"/>
    <pivotTable tabId="1" name="PivotTable5"/>
    <pivotTable tabId="1" name="PivotTable6"/>
    <pivotTable tabId="1" name="PivotTable7"/>
    <pivotTable tabId="1" name="PivotTable9"/>
  </pivotTables>
  <data>
    <olap pivotCacheId="1064529639">
      <levels count="2">
        <level uniqueName="[Products].[Category].[(All)]" sourceCaption="(All)" count="0"/>
        <level uniqueName="[Products].[Category].[Category]" sourceCaption="Category" count="7">
          <ranges>
            <range startItem="0">
              <i n="[Products].[Category].&amp;[Cake]" c="Cake"/>
              <i n="[Products].[Category].&amp;[Colors]" c="Colors"/>
              <i n="[Products].[Category].&amp;[Mugs]" c="Mugs"/>
              <i n="[Products].[Category].&amp;[Plants]" c="Plants"/>
              <i n="[Products].[Category].&amp;[Raksha Bandhan]" c="Raksha Bandhan"/>
              <i n="[Products].[Category].&amp;[Soft Toys]" c="Soft Toys"/>
              <i n="[Products].[Category].&amp;[Sweets]" c="Sweets"/>
            </range>
          </ranges>
        </level>
      </levels>
      <selections count="1">
        <selection n="[Product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81C6E91B-E13B-4D8E-BBC2-948D60827F98}" cache="Slicer_Occasion" caption="Occasion" level="1" style="SlicerStyleLight6" rowHeight="252000"/>
  <slicer name="Category" xr10:uid="{D75D6F59-5C53-4890-99E9-61433109D3DC}" cache="Slicer_Category" caption="Category" level="1" style="SlicerStyleLight6" rowHeight="21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657546-1C4C-4407-BD58-83618AF0CF96}" name="FNP_Datasets" displayName="FNP_Datasets" ref="A1:F4" tableType="queryTable" totalsRowShown="0">
  <autoFilter ref="A1:F4" xr:uid="{1F657546-1C4C-4407-BD58-83618AF0CF96}"/>
  <tableColumns count="6">
    <tableColumn id="1" xr3:uid="{2D284995-C435-4504-8EE1-12E2E1C82FD1}" uniqueName="1" name="Name" queryTableFieldId="1" dataDxfId="24"/>
    <tableColumn id="2" xr3:uid="{965A2938-507B-4ECF-9FFB-2DDE668DD609}" uniqueName="2" name="Extension" queryTableFieldId="2" dataDxfId="23"/>
    <tableColumn id="3" xr3:uid="{161947F6-70B2-40FD-8373-76016B18014F}" uniqueName="3" name="Date accessed" queryTableFieldId="3" dataDxfId="22"/>
    <tableColumn id="4" xr3:uid="{72F2A201-F5D6-4999-AC9C-CA51C7256D6F}" uniqueName="4" name="Date modified" queryTableFieldId="4" dataDxfId="21"/>
    <tableColumn id="5" xr3:uid="{E8D1E5A8-29C2-464E-9523-89DBC3B91650}" uniqueName="5" name="Date created" queryTableFieldId="5" dataDxfId="20"/>
    <tableColumn id="6" xr3:uid="{DEEF1961-00DA-4972-8401-79A2805667C5}" uniqueName="6" name="Folder Path" queryTableFieldId="6" dataDxfId="19"/>
  </tableColumns>
  <tableStyleInfo name="TableStyleMedium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9C42646-706C-44A3-878C-AA515C4C7B71}" name="Customer" displayName="Customer" ref="A1:G101" tableType="queryTable" totalsRowShown="0">
  <autoFilter ref="A1:G101" xr:uid="{C9C42646-706C-44A3-878C-AA515C4C7B71}"/>
  <tableColumns count="7">
    <tableColumn id="1" xr3:uid="{8EAD6674-3397-4D30-9163-219D58071C50}" uniqueName="1" name="Customer_ID" queryTableFieldId="1" dataDxfId="18"/>
    <tableColumn id="2" xr3:uid="{48FF6BE2-BAF9-4553-81F8-F81FCF8C85B1}" uniqueName="2" name="Name" queryTableFieldId="2" dataDxfId="17"/>
    <tableColumn id="3" xr3:uid="{AA7C31B6-A294-48B3-AF1C-7A8D1AE8BF9D}" uniqueName="3" name="City" queryTableFieldId="3" dataDxfId="16"/>
    <tableColumn id="4" xr3:uid="{07FC4F89-CBC3-415B-978F-BA91E94D2C52}" uniqueName="4" name="Contact_Number" queryTableFieldId="4" dataDxfId="15"/>
    <tableColumn id="5" xr3:uid="{3FD5B1B2-EDD4-432F-A84D-7B886CC682B4}" uniqueName="5" name="Email" queryTableFieldId="5" dataDxfId="14"/>
    <tableColumn id="6" xr3:uid="{C39D96DC-2C88-4CD3-80E5-C282D00DA2DE}" uniqueName="6" name="Gender" queryTableFieldId="6" dataDxfId="13"/>
    <tableColumn id="7" xr3:uid="{4589F815-7A3E-4043-BED3-6FC8716A69BC}" uniqueName="7" name="Address" queryTableFieldId="7"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6D2B460-4BA4-40C3-853D-96A765440628}" name="Orders" displayName="Orders" ref="A1:Q1001" tableType="queryTable" totalsRowShown="0">
  <autoFilter ref="A1:Q1001" xr:uid="{26D2B460-4BA4-40C3-853D-96A765440628}"/>
  <tableColumns count="17">
    <tableColumn id="1" xr3:uid="{81832A99-047B-4F5B-808D-C2C2EAE34C4F}" uniqueName="1" name="Order_ID" queryTableFieldId="1"/>
    <tableColumn id="2" xr3:uid="{BC0E39BF-A9EC-4439-9297-6DFDDD64274C}" uniqueName="2" name="Customer_ID" queryTableFieldId="2" dataDxfId="11"/>
    <tableColumn id="3" xr3:uid="{BFB5C744-AA58-401C-B2E1-705ADCFE2342}" uniqueName="3" name="Product_ID" queryTableFieldId="3"/>
    <tableColumn id="4" xr3:uid="{556C3170-D877-4785-8893-C9AAAB4C9DFF}" uniqueName="4" name="Quantity" queryTableFieldId="4"/>
    <tableColumn id="5" xr3:uid="{EBCBB262-03A3-40A7-A2DD-C19958E08A35}" uniqueName="5" name="Order_Date" queryTableFieldId="5" dataDxfId="10"/>
    <tableColumn id="6" xr3:uid="{25F766C2-4FF7-4440-AB7D-561977D6913D}" uniqueName="6" name="Order_Time" queryTableFieldId="6" dataDxfId="9"/>
    <tableColumn id="7" xr3:uid="{B3C62BC4-EB21-4E3C-B5F2-3BC03DDB6E9C}" uniqueName="7" name="Delivery_Date" queryTableFieldId="7" dataDxfId="8"/>
    <tableColumn id="8" xr3:uid="{72EDD203-E251-48A7-9457-6B361405F1EE}" uniqueName="8" name="Delivery_Time" queryTableFieldId="8" dataDxfId="7"/>
    <tableColumn id="9" xr3:uid="{2028D179-D953-4BA9-A025-2EEBD98C3DE2}" uniqueName="9" name="Location" queryTableFieldId="9" dataDxfId="6"/>
    <tableColumn id="10" xr3:uid="{9FFA6985-C36A-40CA-A88C-DEA1BBCB9143}" uniqueName="10" name="Occasion" queryTableFieldId="10" dataDxfId="5"/>
    <tableColumn id="11" xr3:uid="{9F684096-4C15-41F6-9281-5232F54BE0D1}" uniqueName="11" name="Month Name" queryTableFieldId="11" dataDxfId="4"/>
    <tableColumn id="12" xr3:uid="{2380584A-8C82-4722-A0C2-750CA1EA99BA}" uniqueName="12" name="Hour(Order time)" queryTableFieldId="12"/>
    <tableColumn id="13" xr3:uid="{D7567DF9-339F-47B5-9E8E-67DC06D9B78A}" uniqueName="13" name="diff b/w_order_delivery" queryTableFieldId="13"/>
    <tableColumn id="14" xr3:uid="{7CE9A33F-995F-464C-A3FF-DC810F5B649D}" uniqueName="14" name="Hour(Delivery time)" queryTableFieldId="14"/>
    <tableColumn id="15" xr3:uid="{FA9CFEBC-EB65-456F-A46A-F932B6F177CD}" uniqueName="15" name="Price (INR)" queryTableFieldId="15"/>
    <tableColumn id="16" xr3:uid="{096A80DE-2813-44DB-BF0C-6A489970C974}" uniqueName="16" name="Revenue" queryTableFieldId="16"/>
    <tableColumn id="19" xr3:uid="{BBD26B50-8121-4CE9-81DC-BBAFF63ABCC6}" uniqueName="19" name="Day Name(Order Date)" queryTableFieldId="1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2361891-D036-40C6-B4A2-795A6A2FD26D}" name="Products" displayName="Products" ref="A1:F71" tableType="queryTable" totalsRowShown="0">
  <autoFilter ref="A1:F71" xr:uid="{92361891-D036-40C6-B4A2-795A6A2FD26D}"/>
  <tableColumns count="6">
    <tableColumn id="1" xr3:uid="{9E5C1A60-12C8-4939-A1ED-8D648BEE0D01}" uniqueName="1" name="Product_ID" queryTableFieldId="1"/>
    <tableColumn id="2" xr3:uid="{327A725F-117F-4899-80D8-74A58539A3D1}" uniqueName="2" name="Product_Name" queryTableFieldId="2" dataDxfId="3"/>
    <tableColumn id="3" xr3:uid="{63C48D38-AD52-4515-AE72-C1EE95DD0DCD}" uniqueName="3" name="Category" queryTableFieldId="3" dataDxfId="2"/>
    <tableColumn id="4" xr3:uid="{50C18E9C-782A-482A-B46E-64D2474F973E}" uniqueName="4" name="Price (INR)" queryTableFieldId="4"/>
    <tableColumn id="5" xr3:uid="{094A408C-4BB0-4C15-8C13-FBB8C47A57B8}" uniqueName="5" name="Occasion" queryTableFieldId="5" dataDxfId="1"/>
    <tableColumn id="6" xr3:uid="{BECE8957-B6F4-4B01-B176-B5290F9837A4}"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A8A625A7-D364-4E1E-8B70-9EBD3ED837CB}" sourceName="[Orders].[Order_Date]">
  <pivotTables>
    <pivotTable tabId="1" name="PivotTable8"/>
    <pivotTable tabId="1" name="PivotTable10"/>
    <pivotTable tabId="1" name="PivotTable11"/>
    <pivotTable tabId="1" name="PivotTable13"/>
    <pivotTable tabId="1" name="PivotTable3"/>
    <pivotTable tabId="1" name="PivotTable5"/>
    <pivotTable tabId="1" name="PivotTable6"/>
    <pivotTable tabId="1" name="PivotTable9"/>
  </pivotTables>
  <state minimalRefreshVersion="6" lastRefreshVersion="6" pivotCacheId="1246042520"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CE615DDA-095C-4F16-A6E9-86C0042B178A}" cache="Timeline_Order_Date" caption="Order_Date" level="2" selectionLevel="2" scrollPosition="2023-01-18T00:00:00" style="TimeSlicerStyleLight6"/>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6F31C-9310-4018-A613-181FAAE96F6F}">
  <dimension ref="A1:F4"/>
  <sheetViews>
    <sheetView workbookViewId="0">
      <selection activeCell="F22" sqref="F22"/>
    </sheetView>
  </sheetViews>
  <sheetFormatPr defaultRowHeight="14.4" x14ac:dyDescent="0.3"/>
  <cols>
    <col min="1" max="1" width="12.5546875" bestFit="1" customWidth="1"/>
    <col min="2" max="2" width="11.33203125" bestFit="1" customWidth="1"/>
    <col min="3" max="5" width="15.44140625" bestFit="1" customWidth="1"/>
    <col min="6" max="6" width="58" bestFit="1" customWidth="1"/>
  </cols>
  <sheetData>
    <row r="1" spans="1:6" x14ac:dyDescent="0.3">
      <c r="A1" t="s">
        <v>0</v>
      </c>
      <c r="B1" t="s">
        <v>1</v>
      </c>
      <c r="C1" t="s">
        <v>2</v>
      </c>
      <c r="D1" t="s">
        <v>3</v>
      </c>
      <c r="E1" t="s">
        <v>4</v>
      </c>
      <c r="F1" t="s">
        <v>5</v>
      </c>
    </row>
    <row r="2" spans="1:6" x14ac:dyDescent="0.3">
      <c r="A2" t="s">
        <v>6</v>
      </c>
      <c r="B2" t="s">
        <v>7</v>
      </c>
      <c r="C2" s="1">
        <v>46061.744039043209</v>
      </c>
      <c r="D2" s="1">
        <v>46060.773863580245</v>
      </c>
      <c r="E2" s="1">
        <v>46060.773862461421</v>
      </c>
      <c r="F2" t="s">
        <v>8</v>
      </c>
    </row>
    <row r="3" spans="1:6" x14ac:dyDescent="0.3">
      <c r="A3" t="s">
        <v>9</v>
      </c>
      <c r="B3" t="s">
        <v>7</v>
      </c>
      <c r="C3" s="1">
        <v>46061.744380902775</v>
      </c>
      <c r="D3" s="1">
        <v>46060.773939506173</v>
      </c>
      <c r="E3" s="1">
        <v>46060.773938348764</v>
      </c>
      <c r="F3" t="s">
        <v>8</v>
      </c>
    </row>
    <row r="4" spans="1:6" x14ac:dyDescent="0.3">
      <c r="A4" t="s">
        <v>10</v>
      </c>
      <c r="B4" t="s">
        <v>7</v>
      </c>
      <c r="C4" s="1">
        <v>46061.744559220679</v>
      </c>
      <c r="D4" s="1">
        <v>46060.77400435957</v>
      </c>
      <c r="E4" s="1">
        <v>46060.774003240738</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108D5-67D3-4B31-BAEC-467DF0D31350}">
  <dimension ref="A1:G101"/>
  <sheetViews>
    <sheetView workbookViewId="0">
      <selection activeCell="K13" sqref="K13"/>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93200-6097-4885-813F-38123E57A630}">
  <dimension ref="A1:Q1001"/>
  <sheetViews>
    <sheetView topLeftCell="B1" workbookViewId="0">
      <selection activeCell="G5" sqref="G5"/>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7.77734375" bestFit="1" customWidth="1"/>
    <col min="13" max="13" width="23.5546875" bestFit="1" customWidth="1"/>
    <col min="14" max="14" width="19.88671875" bestFit="1" customWidth="1"/>
    <col min="15" max="15" width="12.109375" bestFit="1" customWidth="1"/>
    <col min="16" max="16" width="10.5546875" bestFit="1" customWidth="1"/>
    <col min="17" max="17" width="22.5546875" bestFit="1" customWidth="1"/>
    <col min="18" max="18" width="21.77734375" bestFit="1" customWidth="1"/>
    <col min="19" max="19" width="6.44140625"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1003</v>
      </c>
      <c r="Q1" t="s">
        <v>1004</v>
      </c>
    </row>
    <row r="2" spans="1:17" x14ac:dyDescent="0.3">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1005</v>
      </c>
    </row>
    <row r="3" spans="1:17" x14ac:dyDescent="0.3">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1006</v>
      </c>
    </row>
    <row r="4" spans="1:17" x14ac:dyDescent="0.3">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1007</v>
      </c>
    </row>
    <row r="5" spans="1:17" x14ac:dyDescent="0.3">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1005</v>
      </c>
    </row>
    <row r="6" spans="1:17" x14ac:dyDescent="0.3">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1008</v>
      </c>
    </row>
    <row r="7" spans="1:17" x14ac:dyDescent="0.3">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1005</v>
      </c>
    </row>
    <row r="8" spans="1:17" x14ac:dyDescent="0.3">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1005</v>
      </c>
    </row>
    <row r="9" spans="1:17" x14ac:dyDescent="0.3">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1008</v>
      </c>
    </row>
    <row r="10" spans="1:17"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1008</v>
      </c>
    </row>
    <row r="11" spans="1:17"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1005</v>
      </c>
    </row>
    <row r="12" spans="1:17"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1005</v>
      </c>
    </row>
    <row r="13" spans="1:17"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1005</v>
      </c>
    </row>
    <row r="14" spans="1:17"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1009</v>
      </c>
    </row>
    <row r="15" spans="1:17"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1009</v>
      </c>
    </row>
    <row r="16" spans="1:17"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1009</v>
      </c>
    </row>
    <row r="17" spans="1:17"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1010</v>
      </c>
    </row>
    <row r="18" spans="1:17"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1006</v>
      </c>
    </row>
    <row r="19" spans="1:17"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1005</v>
      </c>
    </row>
    <row r="20" spans="1:17"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1005</v>
      </c>
    </row>
    <row r="21" spans="1:17"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1006</v>
      </c>
    </row>
    <row r="22" spans="1:17"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1005</v>
      </c>
    </row>
    <row r="23" spans="1:17"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1008</v>
      </c>
    </row>
    <row r="24" spans="1:17"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1008</v>
      </c>
    </row>
    <row r="25" spans="1:17"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1005</v>
      </c>
    </row>
    <row r="26" spans="1:17"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1008</v>
      </c>
    </row>
    <row r="27" spans="1:17"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1006</v>
      </c>
    </row>
    <row r="28" spans="1:17"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1008</v>
      </c>
    </row>
    <row r="29" spans="1:17"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1010</v>
      </c>
    </row>
    <row r="30" spans="1:17"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1011</v>
      </c>
    </row>
    <row r="31" spans="1:17"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1007</v>
      </c>
    </row>
    <row r="32" spans="1:17"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1010</v>
      </c>
    </row>
    <row r="33" spans="1:17"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1007</v>
      </c>
    </row>
    <row r="34" spans="1:17"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1005</v>
      </c>
    </row>
    <row r="35" spans="1:17"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1005</v>
      </c>
    </row>
    <row r="36" spans="1:17"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1005</v>
      </c>
    </row>
    <row r="37" spans="1:17"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1005</v>
      </c>
    </row>
    <row r="38" spans="1:17"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1009</v>
      </c>
    </row>
    <row r="39" spans="1:17"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1006</v>
      </c>
    </row>
    <row r="40" spans="1:17"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1006</v>
      </c>
    </row>
    <row r="41" spans="1:17"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1007</v>
      </c>
    </row>
    <row r="42" spans="1:17"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1008</v>
      </c>
    </row>
    <row r="43" spans="1:17"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1005</v>
      </c>
    </row>
    <row r="44" spans="1:17"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1009</v>
      </c>
    </row>
    <row r="45" spans="1:17"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1006</v>
      </c>
    </row>
    <row r="46" spans="1:17"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1005</v>
      </c>
    </row>
    <row r="47" spans="1:17"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1008</v>
      </c>
    </row>
    <row r="48" spans="1:17"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1009</v>
      </c>
    </row>
    <row r="49" spans="1:17"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1010</v>
      </c>
    </row>
    <row r="50" spans="1:17"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1010</v>
      </c>
    </row>
    <row r="51" spans="1:17"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1008</v>
      </c>
    </row>
    <row r="52" spans="1:17"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1008</v>
      </c>
    </row>
    <row r="53" spans="1:17"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1006</v>
      </c>
    </row>
    <row r="54" spans="1:17"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1010</v>
      </c>
    </row>
    <row r="55" spans="1:17"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1008</v>
      </c>
    </row>
    <row r="56" spans="1:17"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1005</v>
      </c>
    </row>
    <row r="57" spans="1:17"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1008</v>
      </c>
    </row>
    <row r="58" spans="1:17"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1011</v>
      </c>
    </row>
    <row r="59" spans="1:17"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1009</v>
      </c>
    </row>
    <row r="60" spans="1:17"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1010</v>
      </c>
    </row>
    <row r="61" spans="1:17"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1005</v>
      </c>
    </row>
    <row r="62" spans="1:17"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1005</v>
      </c>
    </row>
    <row r="63" spans="1:17"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1008</v>
      </c>
    </row>
    <row r="64" spans="1:17"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1005</v>
      </c>
    </row>
    <row r="65" spans="1:17"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1006</v>
      </c>
    </row>
    <row r="66" spans="1:17"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1009</v>
      </c>
    </row>
    <row r="67" spans="1:17"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1005</v>
      </c>
    </row>
    <row r="68" spans="1:17"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1005</v>
      </c>
    </row>
    <row r="69" spans="1:17"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1008</v>
      </c>
    </row>
    <row r="70" spans="1:17"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1006</v>
      </c>
    </row>
    <row r="71" spans="1:17"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1007</v>
      </c>
    </row>
    <row r="72" spans="1:17" x14ac:dyDescent="0.3">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1007</v>
      </c>
    </row>
    <row r="73" spans="1:17"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1009</v>
      </c>
    </row>
    <row r="74" spans="1:17"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1008</v>
      </c>
    </row>
    <row r="75" spans="1:17"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1008</v>
      </c>
    </row>
    <row r="76" spans="1:17"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1005</v>
      </c>
    </row>
    <row r="77" spans="1:17"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1007</v>
      </c>
    </row>
    <row r="78" spans="1:17"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1005</v>
      </c>
    </row>
    <row r="79" spans="1:17"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1010</v>
      </c>
    </row>
    <row r="80" spans="1:17"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1005</v>
      </c>
    </row>
    <row r="81" spans="1:17"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1011</v>
      </c>
    </row>
    <row r="82" spans="1:17" x14ac:dyDescent="0.3">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1010</v>
      </c>
    </row>
    <row r="83" spans="1:17"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1006</v>
      </c>
    </row>
    <row r="84" spans="1:17"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1005</v>
      </c>
    </row>
    <row r="85" spans="1:17"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1006</v>
      </c>
    </row>
    <row r="86" spans="1:17"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1007</v>
      </c>
    </row>
    <row r="87" spans="1:17"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1008</v>
      </c>
    </row>
    <row r="88" spans="1:17"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1009</v>
      </c>
    </row>
    <row r="89" spans="1:17"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1007</v>
      </c>
    </row>
    <row r="90" spans="1:17"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1006</v>
      </c>
    </row>
    <row r="91" spans="1:17"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1008</v>
      </c>
    </row>
    <row r="92" spans="1:17"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1008</v>
      </c>
    </row>
    <row r="93" spans="1:17"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1011</v>
      </c>
    </row>
    <row r="94" spans="1:17"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1005</v>
      </c>
    </row>
    <row r="95" spans="1:17"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1005</v>
      </c>
    </row>
    <row r="96" spans="1:17"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1008</v>
      </c>
    </row>
    <row r="97" spans="1:17"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1009</v>
      </c>
    </row>
    <row r="98" spans="1:17"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1005</v>
      </c>
    </row>
    <row r="99" spans="1:17"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1010</v>
      </c>
    </row>
    <row r="100" spans="1:17"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1006</v>
      </c>
    </row>
    <row r="101" spans="1:17"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1009</v>
      </c>
    </row>
    <row r="102" spans="1:17"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1011</v>
      </c>
    </row>
    <row r="103" spans="1:17"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1008</v>
      </c>
    </row>
    <row r="104" spans="1:17"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1007</v>
      </c>
    </row>
    <row r="105" spans="1:17"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1009</v>
      </c>
    </row>
    <row r="106" spans="1:17"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1011</v>
      </c>
    </row>
    <row r="107" spans="1:17"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1009</v>
      </c>
    </row>
    <row r="108" spans="1:17"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1008</v>
      </c>
    </row>
    <row r="109" spans="1:17"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1008</v>
      </c>
    </row>
    <row r="110" spans="1:17"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1008</v>
      </c>
    </row>
    <row r="111" spans="1:17"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1009</v>
      </c>
    </row>
    <row r="112" spans="1:17"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1009</v>
      </c>
    </row>
    <row r="113" spans="1:17"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1005</v>
      </c>
    </row>
    <row r="114" spans="1:17"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1009</v>
      </c>
    </row>
    <row r="115" spans="1:17"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1007</v>
      </c>
    </row>
    <row r="116" spans="1:17"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1006</v>
      </c>
    </row>
    <row r="117" spans="1:17"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1010</v>
      </c>
    </row>
    <row r="118" spans="1:17"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1008</v>
      </c>
    </row>
    <row r="119" spans="1:17"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1008</v>
      </c>
    </row>
    <row r="120" spans="1:17"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1007</v>
      </c>
    </row>
    <row r="121" spans="1:17"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1011</v>
      </c>
    </row>
    <row r="122" spans="1:17"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1011</v>
      </c>
    </row>
    <row r="123" spans="1:17"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1008</v>
      </c>
    </row>
    <row r="124" spans="1:17"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1008</v>
      </c>
    </row>
    <row r="125" spans="1:17"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1008</v>
      </c>
    </row>
    <row r="126" spans="1:17"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1006</v>
      </c>
    </row>
    <row r="127" spans="1:17"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1009</v>
      </c>
    </row>
    <row r="128" spans="1:17"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1006</v>
      </c>
    </row>
    <row r="129" spans="1:17"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1005</v>
      </c>
    </row>
    <row r="130" spans="1:17"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1009</v>
      </c>
    </row>
    <row r="131" spans="1:17"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1009</v>
      </c>
    </row>
    <row r="132" spans="1:17"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1007</v>
      </c>
    </row>
    <row r="133" spans="1:17"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1009</v>
      </c>
    </row>
    <row r="134" spans="1:17"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1007</v>
      </c>
    </row>
    <row r="135" spans="1:17"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1010</v>
      </c>
    </row>
    <row r="136" spans="1:17"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1010</v>
      </c>
    </row>
    <row r="137" spans="1:17"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1009</v>
      </c>
    </row>
    <row r="138" spans="1:17"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1011</v>
      </c>
    </row>
    <row r="139" spans="1:17"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1008</v>
      </c>
    </row>
    <row r="140" spans="1:17"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1007</v>
      </c>
    </row>
    <row r="141" spans="1:17"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1010</v>
      </c>
    </row>
    <row r="142" spans="1:17"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1010</v>
      </c>
    </row>
    <row r="143" spans="1:17"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1010</v>
      </c>
    </row>
    <row r="144" spans="1:17"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1008</v>
      </c>
    </row>
    <row r="145" spans="1:17"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1008</v>
      </c>
    </row>
    <row r="146" spans="1:17"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1010</v>
      </c>
    </row>
    <row r="147" spans="1:17"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1010</v>
      </c>
    </row>
    <row r="148" spans="1:17"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1008</v>
      </c>
    </row>
    <row r="149" spans="1:17"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1008</v>
      </c>
    </row>
    <row r="150" spans="1:17"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1010</v>
      </c>
    </row>
    <row r="151" spans="1:17"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1009</v>
      </c>
    </row>
    <row r="152" spans="1:17"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1011</v>
      </c>
    </row>
    <row r="153" spans="1:17"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1011</v>
      </c>
    </row>
    <row r="154" spans="1:17"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1011</v>
      </c>
    </row>
    <row r="155" spans="1:17"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1008</v>
      </c>
    </row>
    <row r="156" spans="1:17"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1010</v>
      </c>
    </row>
    <row r="157" spans="1:17"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1005</v>
      </c>
    </row>
    <row r="158" spans="1:17"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1008</v>
      </c>
    </row>
    <row r="159" spans="1:17"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1008</v>
      </c>
    </row>
    <row r="160" spans="1:17"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1010</v>
      </c>
    </row>
    <row r="161" spans="1:17"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1009</v>
      </c>
    </row>
    <row r="162" spans="1:17"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1008</v>
      </c>
    </row>
    <row r="163" spans="1:17"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1008</v>
      </c>
    </row>
    <row r="164" spans="1:17"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1009</v>
      </c>
    </row>
    <row r="165" spans="1:17"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1010</v>
      </c>
    </row>
    <row r="166" spans="1:17"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1010</v>
      </c>
    </row>
    <row r="167" spans="1:17"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1010</v>
      </c>
    </row>
    <row r="168" spans="1:17"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1008</v>
      </c>
    </row>
    <row r="169" spans="1:17"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1009</v>
      </c>
    </row>
    <row r="170" spans="1:17"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1009</v>
      </c>
    </row>
    <row r="171" spans="1:17"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1008</v>
      </c>
    </row>
    <row r="172" spans="1:17"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1011</v>
      </c>
    </row>
    <row r="173" spans="1:17"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1010</v>
      </c>
    </row>
    <row r="174" spans="1:17"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1009</v>
      </c>
    </row>
    <row r="175" spans="1:17"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1010</v>
      </c>
    </row>
    <row r="176" spans="1:17"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1010</v>
      </c>
    </row>
    <row r="177" spans="1:17"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1010</v>
      </c>
    </row>
    <row r="178" spans="1:17"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1008</v>
      </c>
    </row>
    <row r="179" spans="1:17"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1011</v>
      </c>
    </row>
    <row r="180" spans="1:17"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1008</v>
      </c>
    </row>
    <row r="181" spans="1:17"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1010</v>
      </c>
    </row>
    <row r="182" spans="1:17"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1008</v>
      </c>
    </row>
    <row r="183" spans="1:17"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1009</v>
      </c>
    </row>
    <row r="184" spans="1:17"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1011</v>
      </c>
    </row>
    <row r="185" spans="1:17"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1011</v>
      </c>
    </row>
    <row r="186" spans="1:17"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1010</v>
      </c>
    </row>
    <row r="187" spans="1:17"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1005</v>
      </c>
    </row>
    <row r="188" spans="1:17"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1008</v>
      </c>
    </row>
    <row r="189" spans="1:17"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1007</v>
      </c>
    </row>
    <row r="190" spans="1:17"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1005</v>
      </c>
    </row>
    <row r="191" spans="1:17"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1011</v>
      </c>
    </row>
    <row r="192" spans="1:17"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1011</v>
      </c>
    </row>
    <row r="193" spans="1:17"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1009</v>
      </c>
    </row>
    <row r="194" spans="1:17"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1008</v>
      </c>
    </row>
    <row r="195" spans="1:17"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1008</v>
      </c>
    </row>
    <row r="196" spans="1:17"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1007</v>
      </c>
    </row>
    <row r="197" spans="1:17"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1008</v>
      </c>
    </row>
    <row r="198" spans="1:17"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1010</v>
      </c>
    </row>
    <row r="199" spans="1:17"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1010</v>
      </c>
    </row>
    <row r="200" spans="1:17"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1010</v>
      </c>
    </row>
    <row r="201" spans="1:17"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1009</v>
      </c>
    </row>
    <row r="202" spans="1:17"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1006</v>
      </c>
    </row>
    <row r="203" spans="1:17"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1009</v>
      </c>
    </row>
    <row r="204" spans="1:17"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1011</v>
      </c>
    </row>
    <row r="205" spans="1:17"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1011</v>
      </c>
    </row>
    <row r="206" spans="1:17"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1010</v>
      </c>
    </row>
    <row r="207" spans="1:17"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1009</v>
      </c>
    </row>
    <row r="208" spans="1:17"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1008</v>
      </c>
    </row>
    <row r="209" spans="1:17"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1009</v>
      </c>
    </row>
    <row r="210" spans="1:17"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1006</v>
      </c>
    </row>
    <row r="211" spans="1:17"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1008</v>
      </c>
    </row>
    <row r="212" spans="1:17"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1010</v>
      </c>
    </row>
    <row r="213" spans="1:17"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1010</v>
      </c>
    </row>
    <row r="214" spans="1:17"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1011</v>
      </c>
    </row>
    <row r="215" spans="1:17"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1006</v>
      </c>
    </row>
    <row r="216" spans="1:17"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1010</v>
      </c>
    </row>
    <row r="217" spans="1:17"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1008</v>
      </c>
    </row>
    <row r="218" spans="1:17"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1009</v>
      </c>
    </row>
    <row r="219" spans="1:17"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1005</v>
      </c>
    </row>
    <row r="220" spans="1:17"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1007</v>
      </c>
    </row>
    <row r="221" spans="1:17"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1010</v>
      </c>
    </row>
    <row r="222" spans="1:17"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1007</v>
      </c>
    </row>
    <row r="223" spans="1:17"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1006</v>
      </c>
    </row>
    <row r="224" spans="1:17"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1007</v>
      </c>
    </row>
    <row r="225" spans="1:17"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1007</v>
      </c>
    </row>
    <row r="226" spans="1:17"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1005</v>
      </c>
    </row>
    <row r="227" spans="1:17"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1009</v>
      </c>
    </row>
    <row r="228" spans="1:17"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1008</v>
      </c>
    </row>
    <row r="229" spans="1:17"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1008</v>
      </c>
    </row>
    <row r="230" spans="1:17"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1011</v>
      </c>
    </row>
    <row r="231" spans="1:17"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1006</v>
      </c>
    </row>
    <row r="232" spans="1:17"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1007</v>
      </c>
    </row>
    <row r="233" spans="1:17"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1011</v>
      </c>
    </row>
    <row r="234" spans="1:17"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1006</v>
      </c>
    </row>
    <row r="235" spans="1:17"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1008</v>
      </c>
    </row>
    <row r="236" spans="1:17"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1006</v>
      </c>
    </row>
    <row r="237" spans="1:17"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1010</v>
      </c>
    </row>
    <row r="238" spans="1:17"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1009</v>
      </c>
    </row>
    <row r="239" spans="1:17"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1010</v>
      </c>
    </row>
    <row r="240" spans="1:17"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1008</v>
      </c>
    </row>
    <row r="241" spans="1:17"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1006</v>
      </c>
    </row>
    <row r="242" spans="1:17"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1008</v>
      </c>
    </row>
    <row r="243" spans="1:17"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1011</v>
      </c>
    </row>
    <row r="244" spans="1:17"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1011</v>
      </c>
    </row>
    <row r="245" spans="1:17"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1008</v>
      </c>
    </row>
    <row r="246" spans="1:17"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1011</v>
      </c>
    </row>
    <row r="247" spans="1:17"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1005</v>
      </c>
    </row>
    <row r="248" spans="1:17"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1011</v>
      </c>
    </row>
    <row r="249" spans="1:17"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1010</v>
      </c>
    </row>
    <row r="250" spans="1:17"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1010</v>
      </c>
    </row>
    <row r="251" spans="1:17"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1006</v>
      </c>
    </row>
    <row r="252" spans="1:17"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1005</v>
      </c>
    </row>
    <row r="253" spans="1:17"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1010</v>
      </c>
    </row>
    <row r="254" spans="1:17"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1008</v>
      </c>
    </row>
    <row r="255" spans="1:17"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1005</v>
      </c>
    </row>
    <row r="256" spans="1:17"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1005</v>
      </c>
    </row>
    <row r="257" spans="1:17"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1009</v>
      </c>
    </row>
    <row r="258" spans="1:17"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1011</v>
      </c>
    </row>
    <row r="259" spans="1:17"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1005</v>
      </c>
    </row>
    <row r="260" spans="1:17"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1011</v>
      </c>
    </row>
    <row r="261" spans="1:17"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1011</v>
      </c>
    </row>
    <row r="262" spans="1:17"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1010</v>
      </c>
    </row>
    <row r="263" spans="1:17"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1005</v>
      </c>
    </row>
    <row r="264" spans="1:17"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1007</v>
      </c>
    </row>
    <row r="265" spans="1:17"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1007</v>
      </c>
    </row>
    <row r="266" spans="1:17"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1005</v>
      </c>
    </row>
    <row r="267" spans="1:17"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1005</v>
      </c>
    </row>
    <row r="268" spans="1:17"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1011</v>
      </c>
    </row>
    <row r="269" spans="1:17"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1005</v>
      </c>
    </row>
    <row r="270" spans="1:17"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1005</v>
      </c>
    </row>
    <row r="271" spans="1:17"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1008</v>
      </c>
    </row>
    <row r="272" spans="1:17"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1008</v>
      </c>
    </row>
    <row r="273" spans="1:17"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1005</v>
      </c>
    </row>
    <row r="274" spans="1:17"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1005</v>
      </c>
    </row>
    <row r="275" spans="1:17"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1007</v>
      </c>
    </row>
    <row r="276" spans="1:17"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1005</v>
      </c>
    </row>
    <row r="277" spans="1:17"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1007</v>
      </c>
    </row>
    <row r="278" spans="1:17"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1008</v>
      </c>
    </row>
    <row r="279" spans="1:17"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1008</v>
      </c>
    </row>
    <row r="280" spans="1:17"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1006</v>
      </c>
    </row>
    <row r="281" spans="1:17"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1008</v>
      </c>
    </row>
    <row r="282" spans="1:17"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1009</v>
      </c>
    </row>
    <row r="283" spans="1:17"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1008</v>
      </c>
    </row>
    <row r="284" spans="1:17"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1008</v>
      </c>
    </row>
    <row r="285" spans="1:17"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1008</v>
      </c>
    </row>
    <row r="286" spans="1:17"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1009</v>
      </c>
    </row>
    <row r="287" spans="1:17"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1005</v>
      </c>
    </row>
    <row r="288" spans="1:17"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1011</v>
      </c>
    </row>
    <row r="289" spans="1:17"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1009</v>
      </c>
    </row>
    <row r="290" spans="1:17"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1007</v>
      </c>
    </row>
    <row r="291" spans="1:17"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1009</v>
      </c>
    </row>
    <row r="292" spans="1:17"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1006</v>
      </c>
    </row>
    <row r="293" spans="1:17"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1011</v>
      </c>
    </row>
    <row r="294" spans="1:17"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1009</v>
      </c>
    </row>
    <row r="295" spans="1:17"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1010</v>
      </c>
    </row>
    <row r="296" spans="1:17"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1010</v>
      </c>
    </row>
    <row r="297" spans="1:17"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1006</v>
      </c>
    </row>
    <row r="298" spans="1:17"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1009</v>
      </c>
    </row>
    <row r="299" spans="1:17"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1005</v>
      </c>
    </row>
    <row r="300" spans="1:17"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1007</v>
      </c>
    </row>
    <row r="301" spans="1:17"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1007</v>
      </c>
    </row>
    <row r="302" spans="1:17"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1007</v>
      </c>
    </row>
    <row r="303" spans="1:17"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1005</v>
      </c>
    </row>
    <row r="304" spans="1:17"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1006</v>
      </c>
    </row>
    <row r="305" spans="1:17"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1007</v>
      </c>
    </row>
    <row r="306" spans="1:17"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1007</v>
      </c>
    </row>
    <row r="307" spans="1:17"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1009</v>
      </c>
    </row>
    <row r="308" spans="1:17"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1007</v>
      </c>
    </row>
    <row r="309" spans="1:17"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1007</v>
      </c>
    </row>
    <row r="310" spans="1:17"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1008</v>
      </c>
    </row>
    <row r="311" spans="1:17"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1010</v>
      </c>
    </row>
    <row r="312" spans="1:17"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1008</v>
      </c>
    </row>
    <row r="313" spans="1:17"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1006</v>
      </c>
    </row>
    <row r="314" spans="1:17"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1010</v>
      </c>
    </row>
    <row r="315" spans="1:17"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1011</v>
      </c>
    </row>
    <row r="316" spans="1:17"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1005</v>
      </c>
    </row>
    <row r="317" spans="1:17"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1009</v>
      </c>
    </row>
    <row r="318" spans="1:17"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1010</v>
      </c>
    </row>
    <row r="319" spans="1:17"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1008</v>
      </c>
    </row>
    <row r="320" spans="1:17"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1011</v>
      </c>
    </row>
    <row r="321" spans="1:17"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1011</v>
      </c>
    </row>
    <row r="322" spans="1:17"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1006</v>
      </c>
    </row>
    <row r="323" spans="1:17"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1006</v>
      </c>
    </row>
    <row r="324" spans="1:17"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1009</v>
      </c>
    </row>
    <row r="325" spans="1:17"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1009</v>
      </c>
    </row>
    <row r="326" spans="1:17"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1011</v>
      </c>
    </row>
    <row r="327" spans="1:17"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1010</v>
      </c>
    </row>
    <row r="328" spans="1:17"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1010</v>
      </c>
    </row>
    <row r="329" spans="1:17"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1008</v>
      </c>
    </row>
    <row r="330" spans="1:17"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1006</v>
      </c>
    </row>
    <row r="331" spans="1:17"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1010</v>
      </c>
    </row>
    <row r="332" spans="1:17"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1007</v>
      </c>
    </row>
    <row r="333" spans="1:17"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1011</v>
      </c>
    </row>
    <row r="334" spans="1:17"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1007</v>
      </c>
    </row>
    <row r="335" spans="1:17"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1009</v>
      </c>
    </row>
    <row r="336" spans="1:17"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1007</v>
      </c>
    </row>
    <row r="337" spans="1:17"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1008</v>
      </c>
    </row>
    <row r="338" spans="1:17"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1011</v>
      </c>
    </row>
    <row r="339" spans="1:17"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1006</v>
      </c>
    </row>
    <row r="340" spans="1:17"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1011</v>
      </c>
    </row>
    <row r="341" spans="1:17"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1010</v>
      </c>
    </row>
    <row r="342" spans="1:17"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1007</v>
      </c>
    </row>
    <row r="343" spans="1:17"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1005</v>
      </c>
    </row>
    <row r="344" spans="1:17"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1008</v>
      </c>
    </row>
    <row r="345" spans="1:17"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1007</v>
      </c>
    </row>
    <row r="346" spans="1:17"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1011</v>
      </c>
    </row>
    <row r="347" spans="1:17"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1009</v>
      </c>
    </row>
    <row r="348" spans="1:17"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1007</v>
      </c>
    </row>
    <row r="349" spans="1:17"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1011</v>
      </c>
    </row>
    <row r="350" spans="1:17"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1009</v>
      </c>
    </row>
    <row r="351" spans="1:17"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1009</v>
      </c>
    </row>
    <row r="352" spans="1:17"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1011</v>
      </c>
    </row>
    <row r="353" spans="1:17"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1007</v>
      </c>
    </row>
    <row r="354" spans="1:17"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1006</v>
      </c>
    </row>
    <row r="355" spans="1:17"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1008</v>
      </c>
    </row>
    <row r="356" spans="1:17"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1005</v>
      </c>
    </row>
    <row r="357" spans="1:17"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1007</v>
      </c>
    </row>
    <row r="358" spans="1:17"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1007</v>
      </c>
    </row>
    <row r="359" spans="1:17"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1010</v>
      </c>
    </row>
    <row r="360" spans="1:17"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1007</v>
      </c>
    </row>
    <row r="361" spans="1:17"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1010</v>
      </c>
    </row>
    <row r="362" spans="1:17"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1008</v>
      </c>
    </row>
    <row r="363" spans="1:17"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1011</v>
      </c>
    </row>
    <row r="364" spans="1:17"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1008</v>
      </c>
    </row>
    <row r="365" spans="1:17"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1010</v>
      </c>
    </row>
    <row r="366" spans="1:17"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1009</v>
      </c>
    </row>
    <row r="367" spans="1:17"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1009</v>
      </c>
    </row>
    <row r="368" spans="1:17"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1010</v>
      </c>
    </row>
    <row r="369" spans="1:17"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1008</v>
      </c>
    </row>
    <row r="370" spans="1:17"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1008</v>
      </c>
    </row>
    <row r="371" spans="1:17"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1009</v>
      </c>
    </row>
    <row r="372" spans="1:17"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1009</v>
      </c>
    </row>
    <row r="373" spans="1:17"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1005</v>
      </c>
    </row>
    <row r="374" spans="1:17"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1010</v>
      </c>
    </row>
    <row r="375" spans="1:17"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1007</v>
      </c>
    </row>
    <row r="376" spans="1:17"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1011</v>
      </c>
    </row>
    <row r="377" spans="1:17"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1006</v>
      </c>
    </row>
    <row r="378" spans="1:17"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1011</v>
      </c>
    </row>
    <row r="379" spans="1:17"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1005</v>
      </c>
    </row>
    <row r="380" spans="1:17"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1008</v>
      </c>
    </row>
    <row r="381" spans="1:17"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1008</v>
      </c>
    </row>
    <row r="382" spans="1:17"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1008</v>
      </c>
    </row>
    <row r="383" spans="1:17"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1010</v>
      </c>
    </row>
    <row r="384" spans="1:17"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1010</v>
      </c>
    </row>
    <row r="385" spans="1:17"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1008</v>
      </c>
    </row>
    <row r="386" spans="1:17"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1008</v>
      </c>
    </row>
    <row r="387" spans="1:17"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1005</v>
      </c>
    </row>
    <row r="388" spans="1:17"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1007</v>
      </c>
    </row>
    <row r="389" spans="1:17"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1006</v>
      </c>
    </row>
    <row r="390" spans="1:17"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1008</v>
      </c>
    </row>
    <row r="391" spans="1:17"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1010</v>
      </c>
    </row>
    <row r="392" spans="1:17"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1005</v>
      </c>
    </row>
    <row r="393" spans="1:17"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1008</v>
      </c>
    </row>
    <row r="394" spans="1:17"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1011</v>
      </c>
    </row>
    <row r="395" spans="1:17"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1008</v>
      </c>
    </row>
    <row r="396" spans="1:17"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1011</v>
      </c>
    </row>
    <row r="397" spans="1:17"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1010</v>
      </c>
    </row>
    <row r="398" spans="1:17"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1008</v>
      </c>
    </row>
    <row r="399" spans="1:17"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1009</v>
      </c>
    </row>
    <row r="400" spans="1:17"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1011</v>
      </c>
    </row>
    <row r="401" spans="1:17"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1008</v>
      </c>
    </row>
    <row r="402" spans="1:17"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1011</v>
      </c>
    </row>
    <row r="403" spans="1:17"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1010</v>
      </c>
    </row>
    <row r="404" spans="1:17"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1005</v>
      </c>
    </row>
    <row r="405" spans="1:17"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1005</v>
      </c>
    </row>
    <row r="406" spans="1:17"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1010</v>
      </c>
    </row>
    <row r="407" spans="1:17"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1006</v>
      </c>
    </row>
    <row r="408" spans="1:17"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1010</v>
      </c>
    </row>
    <row r="409" spans="1:17"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1010</v>
      </c>
    </row>
    <row r="410" spans="1:17"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1006</v>
      </c>
    </row>
    <row r="411" spans="1:17"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1009</v>
      </c>
    </row>
    <row r="412" spans="1:17"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1010</v>
      </c>
    </row>
    <row r="413" spans="1:17"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1008</v>
      </c>
    </row>
    <row r="414" spans="1:17"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1007</v>
      </c>
    </row>
    <row r="415" spans="1:17"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1008</v>
      </c>
    </row>
    <row r="416" spans="1:17"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1011</v>
      </c>
    </row>
    <row r="417" spans="1:17"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1009</v>
      </c>
    </row>
    <row r="418" spans="1:17"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1008</v>
      </c>
    </row>
    <row r="419" spans="1:17"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1008</v>
      </c>
    </row>
    <row r="420" spans="1:17"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1008</v>
      </c>
    </row>
    <row r="421" spans="1:17"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1010</v>
      </c>
    </row>
    <row r="422" spans="1:17"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1010</v>
      </c>
    </row>
    <row r="423" spans="1:17"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1006</v>
      </c>
    </row>
    <row r="424" spans="1:17"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1009</v>
      </c>
    </row>
    <row r="425" spans="1:17"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1008</v>
      </c>
    </row>
    <row r="426" spans="1:17"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1005</v>
      </c>
    </row>
    <row r="427" spans="1:17"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1010</v>
      </c>
    </row>
    <row r="428" spans="1:17"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1010</v>
      </c>
    </row>
    <row r="429" spans="1:17"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1007</v>
      </c>
    </row>
    <row r="430" spans="1:17"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1010</v>
      </c>
    </row>
    <row r="431" spans="1:17"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1011</v>
      </c>
    </row>
    <row r="432" spans="1:17"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1008</v>
      </c>
    </row>
    <row r="433" spans="1:17"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1010</v>
      </c>
    </row>
    <row r="434" spans="1:17"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1008</v>
      </c>
    </row>
    <row r="435" spans="1:17"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1010</v>
      </c>
    </row>
    <row r="436" spans="1:17"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1011</v>
      </c>
    </row>
    <row r="437" spans="1:17"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1005</v>
      </c>
    </row>
    <row r="438" spans="1:17"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1009</v>
      </c>
    </row>
    <row r="439" spans="1:17"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1006</v>
      </c>
    </row>
    <row r="440" spans="1:17"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1009</v>
      </c>
    </row>
    <row r="441" spans="1:17"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1009</v>
      </c>
    </row>
    <row r="442" spans="1:17"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1009</v>
      </c>
    </row>
    <row r="443" spans="1:17"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1010</v>
      </c>
    </row>
    <row r="444" spans="1:17"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1008</v>
      </c>
    </row>
    <row r="445" spans="1:17"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1010</v>
      </c>
    </row>
    <row r="446" spans="1:17"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1008</v>
      </c>
    </row>
    <row r="447" spans="1:17"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1008</v>
      </c>
    </row>
    <row r="448" spans="1:17"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1007</v>
      </c>
    </row>
    <row r="449" spans="1:17"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1010</v>
      </c>
    </row>
    <row r="450" spans="1:17"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1007</v>
      </c>
    </row>
    <row r="451" spans="1:17"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1008</v>
      </c>
    </row>
    <row r="452" spans="1:17"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1010</v>
      </c>
    </row>
    <row r="453" spans="1:17"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1010</v>
      </c>
    </row>
    <row r="454" spans="1:17"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1009</v>
      </c>
    </row>
    <row r="455" spans="1:17"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1008</v>
      </c>
    </row>
    <row r="456" spans="1:17"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1006</v>
      </c>
    </row>
    <row r="457" spans="1:17"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1008</v>
      </c>
    </row>
    <row r="458" spans="1:17"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1009</v>
      </c>
    </row>
    <row r="459" spans="1:17"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1009</v>
      </c>
    </row>
    <row r="460" spans="1:17"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1010</v>
      </c>
    </row>
    <row r="461" spans="1:17"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1007</v>
      </c>
    </row>
    <row r="462" spans="1:17"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1008</v>
      </c>
    </row>
    <row r="463" spans="1:17"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1010</v>
      </c>
    </row>
    <row r="464" spans="1:17"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1008</v>
      </c>
    </row>
    <row r="465" spans="1:17"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1007</v>
      </c>
    </row>
    <row r="466" spans="1:17"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1006</v>
      </c>
    </row>
    <row r="467" spans="1:17"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1007</v>
      </c>
    </row>
    <row r="468" spans="1:17"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1009</v>
      </c>
    </row>
    <row r="469" spans="1:17"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1010</v>
      </c>
    </row>
    <row r="470" spans="1:17"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1010</v>
      </c>
    </row>
    <row r="471" spans="1:17"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1009</v>
      </c>
    </row>
    <row r="472" spans="1:17"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1006</v>
      </c>
    </row>
    <row r="473" spans="1:17"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1010</v>
      </c>
    </row>
    <row r="474" spans="1:17"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1006</v>
      </c>
    </row>
    <row r="475" spans="1:17"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1010</v>
      </c>
    </row>
    <row r="476" spans="1:17"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1010</v>
      </c>
    </row>
    <row r="477" spans="1:17"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1009</v>
      </c>
    </row>
    <row r="478" spans="1:17"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1010</v>
      </c>
    </row>
    <row r="479" spans="1:17"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1007</v>
      </c>
    </row>
    <row r="480" spans="1:17"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1006</v>
      </c>
    </row>
    <row r="481" spans="1:17"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1011</v>
      </c>
    </row>
    <row r="482" spans="1:17"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1007</v>
      </c>
    </row>
    <row r="483" spans="1:17"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1005</v>
      </c>
    </row>
    <row r="484" spans="1:17"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1009</v>
      </c>
    </row>
    <row r="485" spans="1:17"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1007</v>
      </c>
    </row>
    <row r="486" spans="1:17"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1011</v>
      </c>
    </row>
    <row r="487" spans="1:17"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1010</v>
      </c>
    </row>
    <row r="488" spans="1:17"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1009</v>
      </c>
    </row>
    <row r="489" spans="1:17"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1010</v>
      </c>
    </row>
    <row r="490" spans="1:17"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1010</v>
      </c>
    </row>
    <row r="491" spans="1:17"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1008</v>
      </c>
    </row>
    <row r="492" spans="1:17"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1010</v>
      </c>
    </row>
    <row r="493" spans="1:17"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1006</v>
      </c>
    </row>
    <row r="494" spans="1:17"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1008</v>
      </c>
    </row>
    <row r="495" spans="1:17"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1005</v>
      </c>
    </row>
    <row r="496" spans="1:17"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1010</v>
      </c>
    </row>
    <row r="497" spans="1:17"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1009</v>
      </c>
    </row>
    <row r="498" spans="1:17"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1010</v>
      </c>
    </row>
    <row r="499" spans="1:17"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1009</v>
      </c>
    </row>
    <row r="500" spans="1:17"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1007</v>
      </c>
    </row>
    <row r="501" spans="1:17"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1010</v>
      </c>
    </row>
    <row r="502" spans="1:17"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1010</v>
      </c>
    </row>
    <row r="503" spans="1:17"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1005</v>
      </c>
    </row>
    <row r="504" spans="1:17"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1010</v>
      </c>
    </row>
    <row r="505" spans="1:17"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1010</v>
      </c>
    </row>
    <row r="506" spans="1:17"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1008</v>
      </c>
    </row>
    <row r="507" spans="1:17"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1010</v>
      </c>
    </row>
    <row r="508" spans="1:17"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1008</v>
      </c>
    </row>
    <row r="509" spans="1:17"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1010</v>
      </c>
    </row>
    <row r="510" spans="1:17"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1007</v>
      </c>
    </row>
    <row r="511" spans="1:17"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1009</v>
      </c>
    </row>
    <row r="512" spans="1:17"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1007</v>
      </c>
    </row>
    <row r="513" spans="1:17"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1005</v>
      </c>
    </row>
    <row r="514" spans="1:17"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1007</v>
      </c>
    </row>
    <row r="515" spans="1:17"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1008</v>
      </c>
    </row>
    <row r="516" spans="1:17"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1009</v>
      </c>
    </row>
    <row r="517" spans="1:17"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1006</v>
      </c>
    </row>
    <row r="518" spans="1:17"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1005</v>
      </c>
    </row>
    <row r="519" spans="1:17"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1008</v>
      </c>
    </row>
    <row r="520" spans="1:17"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1006</v>
      </c>
    </row>
    <row r="521" spans="1:17"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1009</v>
      </c>
    </row>
    <row r="522" spans="1:17"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1011</v>
      </c>
    </row>
    <row r="523" spans="1:17"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1010</v>
      </c>
    </row>
    <row r="524" spans="1:17"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1010</v>
      </c>
    </row>
    <row r="525" spans="1:17"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1008</v>
      </c>
    </row>
    <row r="526" spans="1:17"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1005</v>
      </c>
    </row>
    <row r="527" spans="1:17"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1009</v>
      </c>
    </row>
    <row r="528" spans="1:17"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1010</v>
      </c>
    </row>
    <row r="529" spans="1:17"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1009</v>
      </c>
    </row>
    <row r="530" spans="1:17"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1009</v>
      </c>
    </row>
    <row r="531" spans="1:17"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1009</v>
      </c>
    </row>
    <row r="532" spans="1:17"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1010</v>
      </c>
    </row>
    <row r="533" spans="1:17"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1005</v>
      </c>
    </row>
    <row r="534" spans="1:17"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1010</v>
      </c>
    </row>
    <row r="535" spans="1:17"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1007</v>
      </c>
    </row>
    <row r="536" spans="1:17"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1006</v>
      </c>
    </row>
    <row r="537" spans="1:17"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1007</v>
      </c>
    </row>
    <row r="538" spans="1:17"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1005</v>
      </c>
    </row>
    <row r="539" spans="1:17"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1010</v>
      </c>
    </row>
    <row r="540" spans="1:17"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1009</v>
      </c>
    </row>
    <row r="541" spans="1:17"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1011</v>
      </c>
    </row>
    <row r="542" spans="1:17"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1010</v>
      </c>
    </row>
    <row r="543" spans="1:17"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1006</v>
      </c>
    </row>
    <row r="544" spans="1:17"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1006</v>
      </c>
    </row>
    <row r="545" spans="1:17"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1011</v>
      </c>
    </row>
    <row r="546" spans="1:17"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1008</v>
      </c>
    </row>
    <row r="547" spans="1:17"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1005</v>
      </c>
    </row>
    <row r="548" spans="1:17"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1010</v>
      </c>
    </row>
    <row r="549" spans="1:17"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1010</v>
      </c>
    </row>
    <row r="550" spans="1:17"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1010</v>
      </c>
    </row>
    <row r="551" spans="1:17"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1008</v>
      </c>
    </row>
    <row r="552" spans="1:17"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1006</v>
      </c>
    </row>
    <row r="553" spans="1:17"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1007</v>
      </c>
    </row>
    <row r="554" spans="1:17"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1011</v>
      </c>
    </row>
    <row r="555" spans="1:17"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1006</v>
      </c>
    </row>
    <row r="556" spans="1:17"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1009</v>
      </c>
    </row>
    <row r="557" spans="1:17"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1009</v>
      </c>
    </row>
    <row r="558" spans="1:17"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1007</v>
      </c>
    </row>
    <row r="559" spans="1:17"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1010</v>
      </c>
    </row>
    <row r="560" spans="1:17"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1009</v>
      </c>
    </row>
    <row r="561" spans="1:17"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1006</v>
      </c>
    </row>
    <row r="562" spans="1:17"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1007</v>
      </c>
    </row>
    <row r="563" spans="1:17"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1010</v>
      </c>
    </row>
    <row r="564" spans="1:17"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1010</v>
      </c>
    </row>
    <row r="565" spans="1:17"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1009</v>
      </c>
    </row>
    <row r="566" spans="1:17"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1009</v>
      </c>
    </row>
    <row r="567" spans="1:17"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1006</v>
      </c>
    </row>
    <row r="568" spans="1:17"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1008</v>
      </c>
    </row>
    <row r="569" spans="1:17"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1006</v>
      </c>
    </row>
    <row r="570" spans="1:17"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1006</v>
      </c>
    </row>
    <row r="571" spans="1:17"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1005</v>
      </c>
    </row>
    <row r="572" spans="1:17"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1010</v>
      </c>
    </row>
    <row r="573" spans="1:17"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1006</v>
      </c>
    </row>
    <row r="574" spans="1:17"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1005</v>
      </c>
    </row>
    <row r="575" spans="1:17"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1006</v>
      </c>
    </row>
    <row r="576" spans="1:17"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1011</v>
      </c>
    </row>
    <row r="577" spans="1:17"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1010</v>
      </c>
    </row>
    <row r="578" spans="1:17"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1005</v>
      </c>
    </row>
    <row r="579" spans="1:17"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1008</v>
      </c>
    </row>
    <row r="580" spans="1:17"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1010</v>
      </c>
    </row>
    <row r="581" spans="1:17"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1007</v>
      </c>
    </row>
    <row r="582" spans="1:17"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1011</v>
      </c>
    </row>
    <row r="583" spans="1:17"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1005</v>
      </c>
    </row>
    <row r="584" spans="1:17"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1007</v>
      </c>
    </row>
    <row r="585" spans="1:17"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1010</v>
      </c>
    </row>
    <row r="586" spans="1:17"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1011</v>
      </c>
    </row>
    <row r="587" spans="1:17"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1006</v>
      </c>
    </row>
    <row r="588" spans="1:17"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1011</v>
      </c>
    </row>
    <row r="589" spans="1:17"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1011</v>
      </c>
    </row>
    <row r="590" spans="1:17"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1005</v>
      </c>
    </row>
    <row r="591" spans="1:17"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1006</v>
      </c>
    </row>
    <row r="592" spans="1:17"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1005</v>
      </c>
    </row>
    <row r="593" spans="1:17"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1005</v>
      </c>
    </row>
    <row r="594" spans="1:17"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1011</v>
      </c>
    </row>
    <row r="595" spans="1:17"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1006</v>
      </c>
    </row>
    <row r="596" spans="1:17"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1011</v>
      </c>
    </row>
    <row r="597" spans="1:17"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1011</v>
      </c>
    </row>
    <row r="598" spans="1:17"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1007</v>
      </c>
    </row>
    <row r="599" spans="1:17"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1009</v>
      </c>
    </row>
    <row r="600" spans="1:17"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1009</v>
      </c>
    </row>
    <row r="601" spans="1:17"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1005</v>
      </c>
    </row>
    <row r="602" spans="1:17"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1005</v>
      </c>
    </row>
    <row r="603" spans="1:17"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1011</v>
      </c>
    </row>
    <row r="604" spans="1:17"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1007</v>
      </c>
    </row>
    <row r="605" spans="1:17"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1007</v>
      </c>
    </row>
    <row r="606" spans="1:17"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1011</v>
      </c>
    </row>
    <row r="607" spans="1:17"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1010</v>
      </c>
    </row>
    <row r="608" spans="1:17"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1005</v>
      </c>
    </row>
    <row r="609" spans="1:17"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1007</v>
      </c>
    </row>
    <row r="610" spans="1:17"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1011</v>
      </c>
    </row>
    <row r="611" spans="1:17"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1011</v>
      </c>
    </row>
    <row r="612" spans="1:17"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1006</v>
      </c>
    </row>
    <row r="613" spans="1:17"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1009</v>
      </c>
    </row>
    <row r="614" spans="1:17"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1009</v>
      </c>
    </row>
    <row r="615" spans="1:17"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1011</v>
      </c>
    </row>
    <row r="616" spans="1:17"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1005</v>
      </c>
    </row>
    <row r="617" spans="1:17"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1007</v>
      </c>
    </row>
    <row r="618" spans="1:17"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1008</v>
      </c>
    </row>
    <row r="619" spans="1:17"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1005</v>
      </c>
    </row>
    <row r="620" spans="1:17"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1005</v>
      </c>
    </row>
    <row r="621" spans="1:17"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1009</v>
      </c>
    </row>
    <row r="622" spans="1:17"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1006</v>
      </c>
    </row>
    <row r="623" spans="1:17"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1010</v>
      </c>
    </row>
    <row r="624" spans="1:17"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1006</v>
      </c>
    </row>
    <row r="625" spans="1:17"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1009</v>
      </c>
    </row>
    <row r="626" spans="1:17"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1008</v>
      </c>
    </row>
    <row r="627" spans="1:17"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1011</v>
      </c>
    </row>
    <row r="628" spans="1:17"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1008</v>
      </c>
    </row>
    <row r="629" spans="1:17"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1007</v>
      </c>
    </row>
    <row r="630" spans="1:17"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1011</v>
      </c>
    </row>
    <row r="631" spans="1:17"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1005</v>
      </c>
    </row>
    <row r="632" spans="1:17"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1009</v>
      </c>
    </row>
    <row r="633" spans="1:17"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1008</v>
      </c>
    </row>
    <row r="634" spans="1:17"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1011</v>
      </c>
    </row>
    <row r="635" spans="1:17"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1011</v>
      </c>
    </row>
    <row r="636" spans="1:17"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1005</v>
      </c>
    </row>
    <row r="637" spans="1:17"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1011</v>
      </c>
    </row>
    <row r="638" spans="1:17"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1007</v>
      </c>
    </row>
    <row r="639" spans="1:17"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1006</v>
      </c>
    </row>
    <row r="640" spans="1:17"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1008</v>
      </c>
    </row>
    <row r="641" spans="1:17"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1006</v>
      </c>
    </row>
    <row r="642" spans="1:17"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1006</v>
      </c>
    </row>
    <row r="643" spans="1:17"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1011</v>
      </c>
    </row>
    <row r="644" spans="1:17"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1008</v>
      </c>
    </row>
    <row r="645" spans="1:17"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1011</v>
      </c>
    </row>
    <row r="646" spans="1:17"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1005</v>
      </c>
    </row>
    <row r="647" spans="1:17"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1010</v>
      </c>
    </row>
    <row r="648" spans="1:17"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1005</v>
      </c>
    </row>
    <row r="649" spans="1:17"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1011</v>
      </c>
    </row>
    <row r="650" spans="1:17"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1009</v>
      </c>
    </row>
    <row r="651" spans="1:17"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1005</v>
      </c>
    </row>
    <row r="652" spans="1:17"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1010</v>
      </c>
    </row>
    <row r="653" spans="1:17"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1007</v>
      </c>
    </row>
    <row r="654" spans="1:17"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1006</v>
      </c>
    </row>
    <row r="655" spans="1:17"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1011</v>
      </c>
    </row>
    <row r="656" spans="1:17"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1010</v>
      </c>
    </row>
    <row r="657" spans="1:17"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1009</v>
      </c>
    </row>
    <row r="658" spans="1:17"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1011</v>
      </c>
    </row>
    <row r="659" spans="1:17"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1007</v>
      </c>
    </row>
    <row r="660" spans="1:17"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1011</v>
      </c>
    </row>
    <row r="661" spans="1:17"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1011</v>
      </c>
    </row>
    <row r="662" spans="1:17"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1011</v>
      </c>
    </row>
    <row r="663" spans="1:17"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1007</v>
      </c>
    </row>
    <row r="664" spans="1:17"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1006</v>
      </c>
    </row>
    <row r="665" spans="1:17"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1010</v>
      </c>
    </row>
    <row r="666" spans="1:17"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1005</v>
      </c>
    </row>
    <row r="667" spans="1:17"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1006</v>
      </c>
    </row>
    <row r="668" spans="1:17"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1007</v>
      </c>
    </row>
    <row r="669" spans="1:17"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1011</v>
      </c>
    </row>
    <row r="670" spans="1:17"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1008</v>
      </c>
    </row>
    <row r="671" spans="1:17"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1009</v>
      </c>
    </row>
    <row r="672" spans="1:17"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1007</v>
      </c>
    </row>
    <row r="673" spans="1:17"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1007</v>
      </c>
    </row>
    <row r="674" spans="1:17"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1011</v>
      </c>
    </row>
    <row r="675" spans="1:17"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1011</v>
      </c>
    </row>
    <row r="676" spans="1:17"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1008</v>
      </c>
    </row>
    <row r="677" spans="1:17"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1007</v>
      </c>
    </row>
    <row r="678" spans="1:17"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1011</v>
      </c>
    </row>
    <row r="679" spans="1:17"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1009</v>
      </c>
    </row>
    <row r="680" spans="1:17"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1006</v>
      </c>
    </row>
    <row r="681" spans="1:17"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1010</v>
      </c>
    </row>
    <row r="682" spans="1:17"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1010</v>
      </c>
    </row>
    <row r="683" spans="1:17"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1007</v>
      </c>
    </row>
    <row r="684" spans="1:17"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1008</v>
      </c>
    </row>
    <row r="685" spans="1:17"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1009</v>
      </c>
    </row>
    <row r="686" spans="1:17"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1008</v>
      </c>
    </row>
    <row r="687" spans="1:17"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1011</v>
      </c>
    </row>
    <row r="688" spans="1:17"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1009</v>
      </c>
    </row>
    <row r="689" spans="1:17"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1006</v>
      </c>
    </row>
    <row r="690" spans="1:17"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1010</v>
      </c>
    </row>
    <row r="691" spans="1:17"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1007</v>
      </c>
    </row>
    <row r="692" spans="1:17"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1006</v>
      </c>
    </row>
    <row r="693" spans="1:17"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1007</v>
      </c>
    </row>
    <row r="694" spans="1:17"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1007</v>
      </c>
    </row>
    <row r="695" spans="1:17"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1009</v>
      </c>
    </row>
    <row r="696" spans="1:17"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1008</v>
      </c>
    </row>
    <row r="697" spans="1:17"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1010</v>
      </c>
    </row>
    <row r="698" spans="1:17"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1007</v>
      </c>
    </row>
    <row r="699" spans="1:17"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1010</v>
      </c>
    </row>
    <row r="700" spans="1:17"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1009</v>
      </c>
    </row>
    <row r="701" spans="1:17"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1005</v>
      </c>
    </row>
    <row r="702" spans="1:17"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1008</v>
      </c>
    </row>
    <row r="703" spans="1:17"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1009</v>
      </c>
    </row>
    <row r="704" spans="1:17"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1006</v>
      </c>
    </row>
    <row r="705" spans="1:17"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1008</v>
      </c>
    </row>
    <row r="706" spans="1:17"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1008</v>
      </c>
    </row>
    <row r="707" spans="1:17"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1007</v>
      </c>
    </row>
    <row r="708" spans="1:17"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1006</v>
      </c>
    </row>
    <row r="709" spans="1:17"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1005</v>
      </c>
    </row>
    <row r="710" spans="1:17"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1007</v>
      </c>
    </row>
    <row r="711" spans="1:17"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1005</v>
      </c>
    </row>
    <row r="712" spans="1:17"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1010</v>
      </c>
    </row>
    <row r="713" spans="1:17"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1007</v>
      </c>
    </row>
    <row r="714" spans="1:17"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1007</v>
      </c>
    </row>
    <row r="715" spans="1:17"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1011</v>
      </c>
    </row>
    <row r="716" spans="1:17"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1005</v>
      </c>
    </row>
    <row r="717" spans="1:17"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1006</v>
      </c>
    </row>
    <row r="718" spans="1:17"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1010</v>
      </c>
    </row>
    <row r="719" spans="1:17"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1006</v>
      </c>
    </row>
    <row r="720" spans="1:17"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1006</v>
      </c>
    </row>
    <row r="721" spans="1:17"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1007</v>
      </c>
    </row>
    <row r="722" spans="1:17"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1006</v>
      </c>
    </row>
    <row r="723" spans="1:17"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1011</v>
      </c>
    </row>
    <row r="724" spans="1:17"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1010</v>
      </c>
    </row>
    <row r="725" spans="1:17"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1010</v>
      </c>
    </row>
    <row r="726" spans="1:17"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1010</v>
      </c>
    </row>
    <row r="727" spans="1:17"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1008</v>
      </c>
    </row>
    <row r="728" spans="1:17"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1005</v>
      </c>
    </row>
    <row r="729" spans="1:17"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1008</v>
      </c>
    </row>
    <row r="730" spans="1:17"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1008</v>
      </c>
    </row>
    <row r="731" spans="1:17"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1007</v>
      </c>
    </row>
    <row r="732" spans="1:17"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1007</v>
      </c>
    </row>
    <row r="733" spans="1:17"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1010</v>
      </c>
    </row>
    <row r="734" spans="1:17"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1011</v>
      </c>
    </row>
    <row r="735" spans="1:17"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1007</v>
      </c>
    </row>
    <row r="736" spans="1:17"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1005</v>
      </c>
    </row>
    <row r="737" spans="1:17"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1009</v>
      </c>
    </row>
    <row r="738" spans="1:17"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1005</v>
      </c>
    </row>
    <row r="739" spans="1:17"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1008</v>
      </c>
    </row>
    <row r="740" spans="1:17"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1005</v>
      </c>
    </row>
    <row r="741" spans="1:17"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1005</v>
      </c>
    </row>
    <row r="742" spans="1:17"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1010</v>
      </c>
    </row>
    <row r="743" spans="1:17"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1005</v>
      </c>
    </row>
    <row r="744" spans="1:17"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1010</v>
      </c>
    </row>
    <row r="745" spans="1:17"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1009</v>
      </c>
    </row>
    <row r="746" spans="1:17"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1008</v>
      </c>
    </row>
    <row r="747" spans="1:17"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1010</v>
      </c>
    </row>
    <row r="748" spans="1:17"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1011</v>
      </c>
    </row>
    <row r="749" spans="1:17"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1008</v>
      </c>
    </row>
    <row r="750" spans="1:17"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1007</v>
      </c>
    </row>
    <row r="751" spans="1:17"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1009</v>
      </c>
    </row>
    <row r="752" spans="1:17"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1008</v>
      </c>
    </row>
    <row r="753" spans="1:17"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1008</v>
      </c>
    </row>
    <row r="754" spans="1:17"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1005</v>
      </c>
    </row>
    <row r="755" spans="1:17"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1009</v>
      </c>
    </row>
    <row r="756" spans="1:17"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1011</v>
      </c>
    </row>
    <row r="757" spans="1:17"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1006</v>
      </c>
    </row>
    <row r="758" spans="1:17"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1009</v>
      </c>
    </row>
    <row r="759" spans="1:17"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1009</v>
      </c>
    </row>
    <row r="760" spans="1:17"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1009</v>
      </c>
    </row>
    <row r="761" spans="1:17"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1009</v>
      </c>
    </row>
    <row r="762" spans="1:17"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1007</v>
      </c>
    </row>
    <row r="763" spans="1:17"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1011</v>
      </c>
    </row>
    <row r="764" spans="1:17"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1006</v>
      </c>
    </row>
    <row r="765" spans="1:17"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1007</v>
      </c>
    </row>
    <row r="766" spans="1:17"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1009</v>
      </c>
    </row>
    <row r="767" spans="1:17"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1009</v>
      </c>
    </row>
    <row r="768" spans="1:17"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1009</v>
      </c>
    </row>
    <row r="769" spans="1:17"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1009</v>
      </c>
    </row>
    <row r="770" spans="1:17"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1005</v>
      </c>
    </row>
    <row r="771" spans="1:17"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1007</v>
      </c>
    </row>
    <row r="772" spans="1:17"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1010</v>
      </c>
    </row>
    <row r="773" spans="1:17"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1008</v>
      </c>
    </row>
    <row r="774" spans="1:17"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1005</v>
      </c>
    </row>
    <row r="775" spans="1:17"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1010</v>
      </c>
    </row>
    <row r="776" spans="1:17"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1007</v>
      </c>
    </row>
    <row r="777" spans="1:17"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1010</v>
      </c>
    </row>
    <row r="778" spans="1:17"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1008</v>
      </c>
    </row>
    <row r="779" spans="1:17"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1011</v>
      </c>
    </row>
    <row r="780" spans="1:17"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1011</v>
      </c>
    </row>
    <row r="781" spans="1:17"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1009</v>
      </c>
    </row>
    <row r="782" spans="1:17"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1008</v>
      </c>
    </row>
    <row r="783" spans="1:17"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1011</v>
      </c>
    </row>
    <row r="784" spans="1:17"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1008</v>
      </c>
    </row>
    <row r="785" spans="1:17"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1007</v>
      </c>
    </row>
    <row r="786" spans="1:17"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1009</v>
      </c>
    </row>
    <row r="787" spans="1:17"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1008</v>
      </c>
    </row>
    <row r="788" spans="1:17"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1006</v>
      </c>
    </row>
    <row r="789" spans="1:17"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1007</v>
      </c>
    </row>
    <row r="790" spans="1:17"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1006</v>
      </c>
    </row>
    <row r="791" spans="1:17"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1007</v>
      </c>
    </row>
    <row r="792" spans="1:17"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1009</v>
      </c>
    </row>
    <row r="793" spans="1:17"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1005</v>
      </c>
    </row>
    <row r="794" spans="1:17"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1010</v>
      </c>
    </row>
    <row r="795" spans="1:17"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1007</v>
      </c>
    </row>
    <row r="796" spans="1:17"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1007</v>
      </c>
    </row>
    <row r="797" spans="1:17"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1008</v>
      </c>
    </row>
    <row r="798" spans="1:17"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1005</v>
      </c>
    </row>
    <row r="799" spans="1:17"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1008</v>
      </c>
    </row>
    <row r="800" spans="1:17"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1005</v>
      </c>
    </row>
    <row r="801" spans="1:17"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1008</v>
      </c>
    </row>
    <row r="802" spans="1:17"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1007</v>
      </c>
    </row>
    <row r="803" spans="1:17"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1008</v>
      </c>
    </row>
    <row r="804" spans="1:17"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1011</v>
      </c>
    </row>
    <row r="805" spans="1:17"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1006</v>
      </c>
    </row>
    <row r="806" spans="1:17"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1008</v>
      </c>
    </row>
    <row r="807" spans="1:17"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1006</v>
      </c>
    </row>
    <row r="808" spans="1:17"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1008</v>
      </c>
    </row>
    <row r="809" spans="1:17"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1006</v>
      </c>
    </row>
    <row r="810" spans="1:17"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1010</v>
      </c>
    </row>
    <row r="811" spans="1:17"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1007</v>
      </c>
    </row>
    <row r="812" spans="1:17"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1008</v>
      </c>
    </row>
    <row r="813" spans="1:17"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1005</v>
      </c>
    </row>
    <row r="814" spans="1:17"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1008</v>
      </c>
    </row>
    <row r="815" spans="1:17"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1007</v>
      </c>
    </row>
    <row r="816" spans="1:17"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1010</v>
      </c>
    </row>
    <row r="817" spans="1:17"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1011</v>
      </c>
    </row>
    <row r="818" spans="1:17"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1010</v>
      </c>
    </row>
    <row r="819" spans="1:17"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1011</v>
      </c>
    </row>
    <row r="820" spans="1:17"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1009</v>
      </c>
    </row>
    <row r="821" spans="1:17"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1007</v>
      </c>
    </row>
    <row r="822" spans="1:17"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1008</v>
      </c>
    </row>
    <row r="823" spans="1:17"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1011</v>
      </c>
    </row>
    <row r="824" spans="1:17"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1011</v>
      </c>
    </row>
    <row r="825" spans="1:17"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1008</v>
      </c>
    </row>
    <row r="826" spans="1:17"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1007</v>
      </c>
    </row>
    <row r="827" spans="1:17"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1005</v>
      </c>
    </row>
    <row r="828" spans="1:17"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1006</v>
      </c>
    </row>
    <row r="829" spans="1:17"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1008</v>
      </c>
    </row>
    <row r="830" spans="1:17"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1007</v>
      </c>
    </row>
    <row r="831" spans="1:17"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1006</v>
      </c>
    </row>
    <row r="832" spans="1:17"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1005</v>
      </c>
    </row>
    <row r="833" spans="1:17"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1010</v>
      </c>
    </row>
    <row r="834" spans="1:17"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1009</v>
      </c>
    </row>
    <row r="835" spans="1:17"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1007</v>
      </c>
    </row>
    <row r="836" spans="1:17"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1010</v>
      </c>
    </row>
    <row r="837" spans="1:17"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1010</v>
      </c>
    </row>
    <row r="838" spans="1:17"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1008</v>
      </c>
    </row>
    <row r="839" spans="1:17"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1005</v>
      </c>
    </row>
    <row r="840" spans="1:17"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1008</v>
      </c>
    </row>
    <row r="841" spans="1:17"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1007</v>
      </c>
    </row>
    <row r="842" spans="1:17"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1006</v>
      </c>
    </row>
    <row r="843" spans="1:17"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1011</v>
      </c>
    </row>
    <row r="844" spans="1:17"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1006</v>
      </c>
    </row>
    <row r="845" spans="1:17"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1010</v>
      </c>
    </row>
    <row r="846" spans="1:17"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1010</v>
      </c>
    </row>
    <row r="847" spans="1:17"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1010</v>
      </c>
    </row>
    <row r="848" spans="1:17"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1008</v>
      </c>
    </row>
    <row r="849" spans="1:17"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1007</v>
      </c>
    </row>
    <row r="850" spans="1:17"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1011</v>
      </c>
    </row>
    <row r="851" spans="1:17"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1009</v>
      </c>
    </row>
    <row r="852" spans="1:17"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1006</v>
      </c>
    </row>
    <row r="853" spans="1:17"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1007</v>
      </c>
    </row>
    <row r="854" spans="1:17"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1008</v>
      </c>
    </row>
    <row r="855" spans="1:17"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1007</v>
      </c>
    </row>
    <row r="856" spans="1:17"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1005</v>
      </c>
    </row>
    <row r="857" spans="1:17"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1011</v>
      </c>
    </row>
    <row r="858" spans="1:17"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1011</v>
      </c>
    </row>
    <row r="859" spans="1:17"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1007</v>
      </c>
    </row>
    <row r="860" spans="1:17"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1005</v>
      </c>
    </row>
    <row r="861" spans="1:17"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1007</v>
      </c>
    </row>
    <row r="862" spans="1:17"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1005</v>
      </c>
    </row>
    <row r="863" spans="1:17"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1008</v>
      </c>
    </row>
    <row r="864" spans="1:17"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1011</v>
      </c>
    </row>
    <row r="865" spans="1:17"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1008</v>
      </c>
    </row>
    <row r="866" spans="1:17"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1007</v>
      </c>
    </row>
    <row r="867" spans="1:17"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1007</v>
      </c>
    </row>
    <row r="868" spans="1:17"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1011</v>
      </c>
    </row>
    <row r="869" spans="1:17"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1009</v>
      </c>
    </row>
    <row r="870" spans="1:17"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1011</v>
      </c>
    </row>
    <row r="871" spans="1:17"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1007</v>
      </c>
    </row>
    <row r="872" spans="1:17"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1007</v>
      </c>
    </row>
    <row r="873" spans="1:17"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1011</v>
      </c>
    </row>
    <row r="874" spans="1:17"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1007</v>
      </c>
    </row>
    <row r="875" spans="1:17"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1009</v>
      </c>
    </row>
    <row r="876" spans="1:17"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1006</v>
      </c>
    </row>
    <row r="877" spans="1:17"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1009</v>
      </c>
    </row>
    <row r="878" spans="1:17"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1007</v>
      </c>
    </row>
    <row r="879" spans="1:17"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1006</v>
      </c>
    </row>
    <row r="880" spans="1:17"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1010</v>
      </c>
    </row>
    <row r="881" spans="1:17"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1011</v>
      </c>
    </row>
    <row r="882" spans="1:17"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1009</v>
      </c>
    </row>
    <row r="883" spans="1:17"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1009</v>
      </c>
    </row>
    <row r="884" spans="1:17"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1007</v>
      </c>
    </row>
    <row r="885" spans="1:17"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1010</v>
      </c>
    </row>
    <row r="886" spans="1:17"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1009</v>
      </c>
    </row>
    <row r="887" spans="1:17"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1010</v>
      </c>
    </row>
    <row r="888" spans="1:17"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1011</v>
      </c>
    </row>
    <row r="889" spans="1:17"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1008</v>
      </c>
    </row>
    <row r="890" spans="1:17"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1010</v>
      </c>
    </row>
    <row r="891" spans="1:17"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1008</v>
      </c>
    </row>
    <row r="892" spans="1:17"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1010</v>
      </c>
    </row>
    <row r="893" spans="1:17"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1006</v>
      </c>
    </row>
    <row r="894" spans="1:17"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1008</v>
      </c>
    </row>
    <row r="895" spans="1:17"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1005</v>
      </c>
    </row>
    <row r="896" spans="1:17"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1008</v>
      </c>
    </row>
    <row r="897" spans="1:17"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1011</v>
      </c>
    </row>
    <row r="898" spans="1:17"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1006</v>
      </c>
    </row>
    <row r="899" spans="1:17"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1010</v>
      </c>
    </row>
    <row r="900" spans="1:17"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1005</v>
      </c>
    </row>
    <row r="901" spans="1:17"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1010</v>
      </c>
    </row>
    <row r="902" spans="1:17"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1009</v>
      </c>
    </row>
    <row r="903" spans="1:17"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1010</v>
      </c>
    </row>
    <row r="904" spans="1:17"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1006</v>
      </c>
    </row>
    <row r="905" spans="1:17"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1011</v>
      </c>
    </row>
    <row r="906" spans="1:17"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1008</v>
      </c>
    </row>
    <row r="907" spans="1:17"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1009</v>
      </c>
    </row>
    <row r="908" spans="1:17"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1006</v>
      </c>
    </row>
    <row r="909" spans="1:17"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1011</v>
      </c>
    </row>
    <row r="910" spans="1:17"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1007</v>
      </c>
    </row>
    <row r="911" spans="1:17"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1005</v>
      </c>
    </row>
    <row r="912" spans="1:17"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1005</v>
      </c>
    </row>
    <row r="913" spans="1:17"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1011</v>
      </c>
    </row>
    <row r="914" spans="1:17"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1007</v>
      </c>
    </row>
    <row r="915" spans="1:17"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1006</v>
      </c>
    </row>
    <row r="916" spans="1:17"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1006</v>
      </c>
    </row>
    <row r="917" spans="1:17"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1011</v>
      </c>
    </row>
    <row r="918" spans="1:17"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1010</v>
      </c>
    </row>
    <row r="919" spans="1:17"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1010</v>
      </c>
    </row>
    <row r="920" spans="1:17"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1008</v>
      </c>
    </row>
    <row r="921" spans="1:17"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1009</v>
      </c>
    </row>
    <row r="922" spans="1:17"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1009</v>
      </c>
    </row>
    <row r="923" spans="1:17"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1009</v>
      </c>
    </row>
    <row r="924" spans="1:17"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1010</v>
      </c>
    </row>
    <row r="925" spans="1:17"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1011</v>
      </c>
    </row>
    <row r="926" spans="1:17"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1005</v>
      </c>
    </row>
    <row r="927" spans="1:17"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1007</v>
      </c>
    </row>
    <row r="928" spans="1:17"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1007</v>
      </c>
    </row>
    <row r="929" spans="1:17"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1008</v>
      </c>
    </row>
    <row r="930" spans="1:17"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1005</v>
      </c>
    </row>
    <row r="931" spans="1:17"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1005</v>
      </c>
    </row>
    <row r="932" spans="1:17"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1007</v>
      </c>
    </row>
    <row r="933" spans="1:17"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1007</v>
      </c>
    </row>
    <row r="934" spans="1:17"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1010</v>
      </c>
    </row>
    <row r="935" spans="1:17"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1006</v>
      </c>
    </row>
    <row r="936" spans="1:17"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1006</v>
      </c>
    </row>
    <row r="937" spans="1:17"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1006</v>
      </c>
    </row>
    <row r="938" spans="1:17"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1007</v>
      </c>
    </row>
    <row r="939" spans="1:17"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1008</v>
      </c>
    </row>
    <row r="940" spans="1:17"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1005</v>
      </c>
    </row>
    <row r="941" spans="1:17"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1009</v>
      </c>
    </row>
    <row r="942" spans="1:17"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1005</v>
      </c>
    </row>
    <row r="943" spans="1:17"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1011</v>
      </c>
    </row>
    <row r="944" spans="1:17"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1007</v>
      </c>
    </row>
    <row r="945" spans="1:17"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1009</v>
      </c>
    </row>
    <row r="946" spans="1:17"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1007</v>
      </c>
    </row>
    <row r="947" spans="1:17"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1010</v>
      </c>
    </row>
    <row r="948" spans="1:17"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1005</v>
      </c>
    </row>
    <row r="949" spans="1:17"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1011</v>
      </c>
    </row>
    <row r="950" spans="1:17"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1007</v>
      </c>
    </row>
    <row r="951" spans="1:17"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1006</v>
      </c>
    </row>
    <row r="952" spans="1:17"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1011</v>
      </c>
    </row>
    <row r="953" spans="1:17"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1011</v>
      </c>
    </row>
    <row r="954" spans="1:17"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1005</v>
      </c>
    </row>
    <row r="955" spans="1:17"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1008</v>
      </c>
    </row>
    <row r="956" spans="1:17"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1005</v>
      </c>
    </row>
    <row r="957" spans="1:17"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1005</v>
      </c>
    </row>
    <row r="958" spans="1:17"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1006</v>
      </c>
    </row>
    <row r="959" spans="1:17"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1009</v>
      </c>
    </row>
    <row r="960" spans="1:17"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1008</v>
      </c>
    </row>
    <row r="961" spans="1:17"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1011</v>
      </c>
    </row>
    <row r="962" spans="1:17"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1009</v>
      </c>
    </row>
    <row r="963" spans="1:17"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1009</v>
      </c>
    </row>
    <row r="964" spans="1:17"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1009</v>
      </c>
    </row>
    <row r="965" spans="1:17"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1009</v>
      </c>
    </row>
    <row r="966" spans="1:17"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1006</v>
      </c>
    </row>
    <row r="967" spans="1:17"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1006</v>
      </c>
    </row>
    <row r="968" spans="1:17"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1007</v>
      </c>
    </row>
    <row r="969" spans="1:17"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1007</v>
      </c>
    </row>
    <row r="970" spans="1:17"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1008</v>
      </c>
    </row>
    <row r="971" spans="1:17"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1010</v>
      </c>
    </row>
    <row r="972" spans="1:17"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1007</v>
      </c>
    </row>
    <row r="973" spans="1:17"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1005</v>
      </c>
    </row>
    <row r="974" spans="1:17"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1007</v>
      </c>
    </row>
    <row r="975" spans="1:17"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1010</v>
      </c>
    </row>
    <row r="976" spans="1:17"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1011</v>
      </c>
    </row>
    <row r="977" spans="1:17"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1006</v>
      </c>
    </row>
    <row r="978" spans="1:17"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1007</v>
      </c>
    </row>
    <row r="979" spans="1:17"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1007</v>
      </c>
    </row>
    <row r="980" spans="1:17"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1009</v>
      </c>
    </row>
    <row r="981" spans="1:17"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1008</v>
      </c>
    </row>
    <row r="982" spans="1:17"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1005</v>
      </c>
    </row>
    <row r="983" spans="1:17"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1006</v>
      </c>
    </row>
    <row r="984" spans="1:17"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1006</v>
      </c>
    </row>
    <row r="985" spans="1:17"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1008</v>
      </c>
    </row>
    <row r="986" spans="1:17"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1010</v>
      </c>
    </row>
    <row r="987" spans="1:17"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1009</v>
      </c>
    </row>
    <row r="988" spans="1:17"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1011</v>
      </c>
    </row>
    <row r="989" spans="1:17"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1005</v>
      </c>
    </row>
    <row r="990" spans="1:17"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1005</v>
      </c>
    </row>
    <row r="991" spans="1:17"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1008</v>
      </c>
    </row>
    <row r="992" spans="1:17"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1007</v>
      </c>
    </row>
    <row r="993" spans="1:17"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1011</v>
      </c>
    </row>
    <row r="994" spans="1:17"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1007</v>
      </c>
    </row>
    <row r="995" spans="1:17"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1011</v>
      </c>
    </row>
    <row r="996" spans="1:17"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1008</v>
      </c>
    </row>
    <row r="997" spans="1:17"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1007</v>
      </c>
    </row>
    <row r="998" spans="1:17"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1011</v>
      </c>
    </row>
    <row r="999" spans="1:17"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1008</v>
      </c>
    </row>
    <row r="1000" spans="1:17"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1008</v>
      </c>
    </row>
    <row r="1001" spans="1:17"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1005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B418C-5D3A-4258-B2FD-AB4F69F9DB0A}">
  <dimension ref="A1:F71"/>
  <sheetViews>
    <sheetView workbookViewId="0">
      <selection activeCell="H19" sqref="H19"/>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606</v>
      </c>
      <c r="B1" t="s">
        <v>856</v>
      </c>
      <c r="C1" t="s">
        <v>857</v>
      </c>
      <c r="D1" t="s">
        <v>618</v>
      </c>
      <c r="E1" t="s">
        <v>613</v>
      </c>
      <c r="F1" t="s">
        <v>858</v>
      </c>
    </row>
    <row r="2" spans="1:6" x14ac:dyDescent="0.3">
      <c r="A2">
        <v>1</v>
      </c>
      <c r="B2" t="s">
        <v>859</v>
      </c>
      <c r="C2" t="s">
        <v>860</v>
      </c>
      <c r="D2">
        <v>1935</v>
      </c>
      <c r="E2" t="s">
        <v>699</v>
      </c>
      <c r="F2" t="s">
        <v>861</v>
      </c>
    </row>
    <row r="3" spans="1:6" x14ac:dyDescent="0.3">
      <c r="A3">
        <v>2</v>
      </c>
      <c r="B3" t="s">
        <v>862</v>
      </c>
      <c r="C3" t="s">
        <v>863</v>
      </c>
      <c r="D3">
        <v>441</v>
      </c>
      <c r="E3" t="s">
        <v>620</v>
      </c>
      <c r="F3" t="s">
        <v>864</v>
      </c>
    </row>
    <row r="4" spans="1:6" x14ac:dyDescent="0.3">
      <c r="A4">
        <v>3</v>
      </c>
      <c r="B4" t="s">
        <v>865</v>
      </c>
      <c r="C4" t="s">
        <v>866</v>
      </c>
      <c r="D4">
        <v>1534</v>
      </c>
      <c r="E4" t="s">
        <v>620</v>
      </c>
      <c r="F4" t="s">
        <v>867</v>
      </c>
    </row>
    <row r="5" spans="1:6" x14ac:dyDescent="0.3">
      <c r="A5">
        <v>4</v>
      </c>
      <c r="B5" t="s">
        <v>868</v>
      </c>
      <c r="C5" t="s">
        <v>869</v>
      </c>
      <c r="D5">
        <v>1199</v>
      </c>
      <c r="E5" t="s">
        <v>829</v>
      </c>
      <c r="F5" t="s">
        <v>870</v>
      </c>
    </row>
    <row r="6" spans="1:6" x14ac:dyDescent="0.3">
      <c r="A6">
        <v>5</v>
      </c>
      <c r="B6" t="s">
        <v>871</v>
      </c>
      <c r="C6" t="s">
        <v>866</v>
      </c>
      <c r="D6">
        <v>1444</v>
      </c>
      <c r="E6" t="s">
        <v>699</v>
      </c>
      <c r="F6" t="s">
        <v>872</v>
      </c>
    </row>
    <row r="7" spans="1:6" x14ac:dyDescent="0.3">
      <c r="A7">
        <v>6</v>
      </c>
      <c r="B7" t="s">
        <v>873</v>
      </c>
      <c r="C7" t="s">
        <v>874</v>
      </c>
      <c r="D7">
        <v>1112</v>
      </c>
      <c r="E7" t="s">
        <v>701</v>
      </c>
      <c r="F7" t="s">
        <v>875</v>
      </c>
    </row>
    <row r="8" spans="1:6" x14ac:dyDescent="0.3">
      <c r="A8">
        <v>7</v>
      </c>
      <c r="B8" t="s">
        <v>876</v>
      </c>
      <c r="C8" t="s">
        <v>860</v>
      </c>
      <c r="D8">
        <v>409</v>
      </c>
      <c r="E8" t="s">
        <v>701</v>
      </c>
      <c r="F8" t="s">
        <v>877</v>
      </c>
    </row>
    <row r="9" spans="1:6" x14ac:dyDescent="0.3">
      <c r="A9">
        <v>8</v>
      </c>
      <c r="B9" t="s">
        <v>878</v>
      </c>
      <c r="C9" t="s">
        <v>869</v>
      </c>
      <c r="D9">
        <v>252</v>
      </c>
      <c r="E9" t="s">
        <v>698</v>
      </c>
      <c r="F9" t="s">
        <v>879</v>
      </c>
    </row>
    <row r="10" spans="1:6" x14ac:dyDescent="0.3">
      <c r="A10">
        <v>9</v>
      </c>
      <c r="B10" t="s">
        <v>880</v>
      </c>
      <c r="C10" t="s">
        <v>866</v>
      </c>
      <c r="D10">
        <v>1605</v>
      </c>
      <c r="E10" t="s">
        <v>794</v>
      </c>
      <c r="F10" t="s">
        <v>881</v>
      </c>
    </row>
    <row r="11" spans="1:6" x14ac:dyDescent="0.3">
      <c r="A11">
        <v>10</v>
      </c>
      <c r="B11" t="s">
        <v>882</v>
      </c>
      <c r="C11" t="s">
        <v>874</v>
      </c>
      <c r="D11">
        <v>259</v>
      </c>
      <c r="E11" t="s">
        <v>707</v>
      </c>
      <c r="F11" t="s">
        <v>883</v>
      </c>
    </row>
    <row r="12" spans="1:6" x14ac:dyDescent="0.3">
      <c r="A12">
        <v>11</v>
      </c>
      <c r="B12" t="s">
        <v>884</v>
      </c>
      <c r="C12" t="s">
        <v>885</v>
      </c>
      <c r="D12">
        <v>1096</v>
      </c>
      <c r="E12" t="s">
        <v>620</v>
      </c>
      <c r="F12" t="s">
        <v>886</v>
      </c>
    </row>
    <row r="13" spans="1:6" x14ac:dyDescent="0.3">
      <c r="A13">
        <v>12</v>
      </c>
      <c r="B13" t="s">
        <v>887</v>
      </c>
      <c r="C13" t="s">
        <v>863</v>
      </c>
      <c r="D13">
        <v>672</v>
      </c>
      <c r="E13" t="s">
        <v>698</v>
      </c>
      <c r="F13" t="s">
        <v>888</v>
      </c>
    </row>
    <row r="14" spans="1:6" x14ac:dyDescent="0.3">
      <c r="A14">
        <v>13</v>
      </c>
      <c r="B14" t="s">
        <v>889</v>
      </c>
      <c r="C14" t="s">
        <v>885</v>
      </c>
      <c r="D14">
        <v>1141</v>
      </c>
      <c r="E14" t="s">
        <v>701</v>
      </c>
      <c r="F14" t="s">
        <v>890</v>
      </c>
    </row>
    <row r="15" spans="1:6" x14ac:dyDescent="0.3">
      <c r="A15">
        <v>14</v>
      </c>
      <c r="B15" t="s">
        <v>891</v>
      </c>
      <c r="C15" t="s">
        <v>866</v>
      </c>
      <c r="D15">
        <v>1915</v>
      </c>
      <c r="E15" t="s">
        <v>707</v>
      </c>
      <c r="F15" t="s">
        <v>892</v>
      </c>
    </row>
    <row r="16" spans="1:6" x14ac:dyDescent="0.3">
      <c r="A16">
        <v>15</v>
      </c>
      <c r="B16" t="s">
        <v>893</v>
      </c>
      <c r="C16" t="s">
        <v>794</v>
      </c>
      <c r="D16">
        <v>1488</v>
      </c>
      <c r="E16" t="s">
        <v>698</v>
      </c>
      <c r="F16" t="s">
        <v>894</v>
      </c>
    </row>
    <row r="17" spans="1:6" x14ac:dyDescent="0.3">
      <c r="A17">
        <v>16</v>
      </c>
      <c r="B17" t="s">
        <v>895</v>
      </c>
      <c r="C17" t="s">
        <v>869</v>
      </c>
      <c r="D17">
        <v>1721</v>
      </c>
      <c r="E17" t="s">
        <v>701</v>
      </c>
      <c r="F17" t="s">
        <v>896</v>
      </c>
    </row>
    <row r="18" spans="1:6" x14ac:dyDescent="0.3">
      <c r="A18">
        <v>17</v>
      </c>
      <c r="B18" t="s">
        <v>897</v>
      </c>
      <c r="C18" t="s">
        <v>860</v>
      </c>
      <c r="D18">
        <v>1899</v>
      </c>
      <c r="E18" t="s">
        <v>698</v>
      </c>
      <c r="F18" t="s">
        <v>898</v>
      </c>
    </row>
    <row r="19" spans="1:6" x14ac:dyDescent="0.3">
      <c r="A19">
        <v>18</v>
      </c>
      <c r="B19" t="s">
        <v>899</v>
      </c>
      <c r="C19" t="s">
        <v>863</v>
      </c>
      <c r="D19">
        <v>781</v>
      </c>
      <c r="E19" t="s">
        <v>707</v>
      </c>
      <c r="F19" t="s">
        <v>900</v>
      </c>
    </row>
    <row r="20" spans="1:6" x14ac:dyDescent="0.3">
      <c r="A20">
        <v>19</v>
      </c>
      <c r="B20" t="s">
        <v>901</v>
      </c>
      <c r="C20" t="s">
        <v>885</v>
      </c>
      <c r="D20">
        <v>1234</v>
      </c>
      <c r="E20" t="s">
        <v>620</v>
      </c>
      <c r="F20" t="s">
        <v>902</v>
      </c>
    </row>
    <row r="21" spans="1:6" x14ac:dyDescent="0.3">
      <c r="A21">
        <v>20</v>
      </c>
      <c r="B21" t="s">
        <v>903</v>
      </c>
      <c r="C21" t="s">
        <v>866</v>
      </c>
      <c r="D21">
        <v>697</v>
      </c>
      <c r="E21" t="s">
        <v>698</v>
      </c>
      <c r="F21" t="s">
        <v>904</v>
      </c>
    </row>
    <row r="22" spans="1:6" x14ac:dyDescent="0.3">
      <c r="A22">
        <v>21</v>
      </c>
      <c r="B22" t="s">
        <v>905</v>
      </c>
      <c r="C22" t="s">
        <v>866</v>
      </c>
      <c r="D22">
        <v>1561</v>
      </c>
      <c r="E22" t="s">
        <v>794</v>
      </c>
      <c r="F22" t="s">
        <v>906</v>
      </c>
    </row>
    <row r="23" spans="1:6" x14ac:dyDescent="0.3">
      <c r="A23">
        <v>22</v>
      </c>
      <c r="B23" t="s">
        <v>907</v>
      </c>
      <c r="C23" t="s">
        <v>860</v>
      </c>
      <c r="D23">
        <v>1639</v>
      </c>
      <c r="E23" t="s">
        <v>699</v>
      </c>
      <c r="F23" t="s">
        <v>908</v>
      </c>
    </row>
    <row r="24" spans="1:6" x14ac:dyDescent="0.3">
      <c r="A24">
        <v>23</v>
      </c>
      <c r="B24" t="s">
        <v>909</v>
      </c>
      <c r="C24" t="s">
        <v>869</v>
      </c>
      <c r="D24">
        <v>1098</v>
      </c>
      <c r="E24" t="s">
        <v>698</v>
      </c>
      <c r="F24" t="s">
        <v>910</v>
      </c>
    </row>
    <row r="25" spans="1:6" x14ac:dyDescent="0.3">
      <c r="A25">
        <v>24</v>
      </c>
      <c r="B25" t="s">
        <v>911</v>
      </c>
      <c r="C25" t="s">
        <v>885</v>
      </c>
      <c r="D25">
        <v>535</v>
      </c>
      <c r="E25" t="s">
        <v>707</v>
      </c>
      <c r="F25" t="s">
        <v>912</v>
      </c>
    </row>
    <row r="26" spans="1:6" x14ac:dyDescent="0.3">
      <c r="A26">
        <v>25</v>
      </c>
      <c r="B26" t="s">
        <v>913</v>
      </c>
      <c r="C26" t="s">
        <v>863</v>
      </c>
      <c r="D26">
        <v>1202</v>
      </c>
      <c r="E26" t="s">
        <v>698</v>
      </c>
      <c r="F26" t="s">
        <v>914</v>
      </c>
    </row>
    <row r="27" spans="1:6" x14ac:dyDescent="0.3">
      <c r="A27">
        <v>26</v>
      </c>
      <c r="B27" t="s">
        <v>915</v>
      </c>
      <c r="C27" t="s">
        <v>866</v>
      </c>
      <c r="D27">
        <v>289</v>
      </c>
      <c r="E27" t="s">
        <v>701</v>
      </c>
      <c r="F27" t="s">
        <v>916</v>
      </c>
    </row>
    <row r="28" spans="1:6" x14ac:dyDescent="0.3">
      <c r="A28">
        <v>27</v>
      </c>
      <c r="B28" t="s">
        <v>917</v>
      </c>
      <c r="C28" t="s">
        <v>874</v>
      </c>
      <c r="D28">
        <v>548</v>
      </c>
      <c r="E28" t="s">
        <v>794</v>
      </c>
      <c r="F28" t="s">
        <v>918</v>
      </c>
    </row>
    <row r="29" spans="1:6" x14ac:dyDescent="0.3">
      <c r="A29">
        <v>28</v>
      </c>
      <c r="B29" t="s">
        <v>919</v>
      </c>
      <c r="C29" t="s">
        <v>869</v>
      </c>
      <c r="D29">
        <v>1778</v>
      </c>
      <c r="E29" t="s">
        <v>794</v>
      </c>
      <c r="F29" t="s">
        <v>920</v>
      </c>
    </row>
    <row r="30" spans="1:6" x14ac:dyDescent="0.3">
      <c r="A30">
        <v>29</v>
      </c>
      <c r="B30" t="s">
        <v>921</v>
      </c>
      <c r="C30" t="s">
        <v>866</v>
      </c>
      <c r="D30">
        <v>1252</v>
      </c>
      <c r="E30" t="s">
        <v>701</v>
      </c>
      <c r="F30" t="s">
        <v>922</v>
      </c>
    </row>
    <row r="31" spans="1:6" x14ac:dyDescent="0.3">
      <c r="A31">
        <v>30</v>
      </c>
      <c r="B31" t="s">
        <v>923</v>
      </c>
      <c r="C31" t="s">
        <v>866</v>
      </c>
      <c r="D31">
        <v>751</v>
      </c>
      <c r="E31" t="s">
        <v>698</v>
      </c>
      <c r="F31" t="s">
        <v>924</v>
      </c>
    </row>
    <row r="32" spans="1:6" x14ac:dyDescent="0.3">
      <c r="A32">
        <v>31</v>
      </c>
      <c r="B32" t="s">
        <v>925</v>
      </c>
      <c r="C32" t="s">
        <v>866</v>
      </c>
      <c r="D32">
        <v>1804</v>
      </c>
      <c r="E32" t="s">
        <v>699</v>
      </c>
      <c r="F32" t="s">
        <v>926</v>
      </c>
    </row>
    <row r="33" spans="1:6" x14ac:dyDescent="0.3">
      <c r="A33">
        <v>32</v>
      </c>
      <c r="B33" t="s">
        <v>927</v>
      </c>
      <c r="C33" t="s">
        <v>860</v>
      </c>
      <c r="D33">
        <v>1792</v>
      </c>
      <c r="E33" t="s">
        <v>707</v>
      </c>
      <c r="F33" t="s">
        <v>928</v>
      </c>
    </row>
    <row r="34" spans="1:6" x14ac:dyDescent="0.3">
      <c r="A34">
        <v>33</v>
      </c>
      <c r="B34" t="s">
        <v>929</v>
      </c>
      <c r="C34" t="s">
        <v>866</v>
      </c>
      <c r="D34">
        <v>314</v>
      </c>
      <c r="E34" t="s">
        <v>620</v>
      </c>
      <c r="F34" t="s">
        <v>930</v>
      </c>
    </row>
    <row r="35" spans="1:6" x14ac:dyDescent="0.3">
      <c r="A35">
        <v>34</v>
      </c>
      <c r="B35" t="s">
        <v>931</v>
      </c>
      <c r="C35" t="s">
        <v>860</v>
      </c>
      <c r="D35">
        <v>1335</v>
      </c>
      <c r="E35" t="s">
        <v>794</v>
      </c>
      <c r="F35" t="s">
        <v>932</v>
      </c>
    </row>
    <row r="36" spans="1:6" x14ac:dyDescent="0.3">
      <c r="A36">
        <v>35</v>
      </c>
      <c r="B36" t="s">
        <v>933</v>
      </c>
      <c r="C36" t="s">
        <v>866</v>
      </c>
      <c r="D36">
        <v>1865</v>
      </c>
      <c r="E36" t="s">
        <v>701</v>
      </c>
      <c r="F36" t="s">
        <v>934</v>
      </c>
    </row>
    <row r="37" spans="1:6" x14ac:dyDescent="0.3">
      <c r="A37">
        <v>36</v>
      </c>
      <c r="B37" t="s">
        <v>935</v>
      </c>
      <c r="C37" t="s">
        <v>863</v>
      </c>
      <c r="D37">
        <v>203</v>
      </c>
      <c r="E37" t="s">
        <v>707</v>
      </c>
      <c r="F37" t="s">
        <v>936</v>
      </c>
    </row>
    <row r="38" spans="1:6" x14ac:dyDescent="0.3">
      <c r="A38">
        <v>37</v>
      </c>
      <c r="B38" t="s">
        <v>937</v>
      </c>
      <c r="C38" t="s">
        <v>866</v>
      </c>
      <c r="D38">
        <v>1428</v>
      </c>
      <c r="E38" t="s">
        <v>829</v>
      </c>
      <c r="F38" t="s">
        <v>938</v>
      </c>
    </row>
    <row r="39" spans="1:6" x14ac:dyDescent="0.3">
      <c r="A39">
        <v>38</v>
      </c>
      <c r="B39" t="s">
        <v>939</v>
      </c>
      <c r="C39" t="s">
        <v>874</v>
      </c>
      <c r="D39">
        <v>562</v>
      </c>
      <c r="E39" t="s">
        <v>707</v>
      </c>
      <c r="F39" t="s">
        <v>940</v>
      </c>
    </row>
    <row r="40" spans="1:6" x14ac:dyDescent="0.3">
      <c r="A40">
        <v>39</v>
      </c>
      <c r="B40" t="s">
        <v>941</v>
      </c>
      <c r="C40" t="s">
        <v>885</v>
      </c>
      <c r="D40">
        <v>387</v>
      </c>
      <c r="E40" t="s">
        <v>699</v>
      </c>
      <c r="F40" t="s">
        <v>942</v>
      </c>
    </row>
    <row r="41" spans="1:6" x14ac:dyDescent="0.3">
      <c r="A41">
        <v>40</v>
      </c>
      <c r="B41" t="s">
        <v>943</v>
      </c>
      <c r="C41" t="s">
        <v>869</v>
      </c>
      <c r="D41">
        <v>1923</v>
      </c>
      <c r="E41" t="s">
        <v>698</v>
      </c>
      <c r="F41" t="s">
        <v>944</v>
      </c>
    </row>
    <row r="42" spans="1:6" x14ac:dyDescent="0.3">
      <c r="A42">
        <v>41</v>
      </c>
      <c r="B42" t="s">
        <v>945</v>
      </c>
      <c r="C42" t="s">
        <v>869</v>
      </c>
      <c r="D42">
        <v>1977</v>
      </c>
      <c r="E42" t="s">
        <v>829</v>
      </c>
      <c r="F42" t="s">
        <v>946</v>
      </c>
    </row>
    <row r="43" spans="1:6" x14ac:dyDescent="0.3">
      <c r="A43">
        <v>42</v>
      </c>
      <c r="B43" t="s">
        <v>947</v>
      </c>
      <c r="C43" t="s">
        <v>869</v>
      </c>
      <c r="D43">
        <v>1744</v>
      </c>
      <c r="E43" t="s">
        <v>699</v>
      </c>
      <c r="F43" t="s">
        <v>948</v>
      </c>
    </row>
    <row r="44" spans="1:6" x14ac:dyDescent="0.3">
      <c r="A44">
        <v>43</v>
      </c>
      <c r="B44" t="s">
        <v>949</v>
      </c>
      <c r="C44" t="s">
        <v>794</v>
      </c>
      <c r="D44">
        <v>750</v>
      </c>
      <c r="E44" t="s">
        <v>829</v>
      </c>
      <c r="F44" t="s">
        <v>950</v>
      </c>
    </row>
    <row r="45" spans="1:6" x14ac:dyDescent="0.3">
      <c r="A45">
        <v>44</v>
      </c>
      <c r="B45" t="s">
        <v>951</v>
      </c>
      <c r="C45" t="s">
        <v>863</v>
      </c>
      <c r="D45">
        <v>794</v>
      </c>
      <c r="E45" t="s">
        <v>829</v>
      </c>
      <c r="F45" t="s">
        <v>952</v>
      </c>
    </row>
    <row r="46" spans="1:6" x14ac:dyDescent="0.3">
      <c r="A46">
        <v>45</v>
      </c>
      <c r="B46" t="s">
        <v>953</v>
      </c>
      <c r="C46" t="s">
        <v>794</v>
      </c>
      <c r="D46">
        <v>722</v>
      </c>
      <c r="E46" t="s">
        <v>707</v>
      </c>
      <c r="F46" t="s">
        <v>954</v>
      </c>
    </row>
    <row r="47" spans="1:6" x14ac:dyDescent="0.3">
      <c r="A47">
        <v>46</v>
      </c>
      <c r="B47" t="s">
        <v>955</v>
      </c>
      <c r="C47" t="s">
        <v>874</v>
      </c>
      <c r="D47">
        <v>758</v>
      </c>
      <c r="E47" t="s">
        <v>698</v>
      </c>
      <c r="F47" t="s">
        <v>956</v>
      </c>
    </row>
    <row r="48" spans="1:6" x14ac:dyDescent="0.3">
      <c r="A48">
        <v>47</v>
      </c>
      <c r="B48" t="s">
        <v>957</v>
      </c>
      <c r="C48" t="s">
        <v>866</v>
      </c>
      <c r="D48">
        <v>1638</v>
      </c>
      <c r="E48" t="s">
        <v>701</v>
      </c>
      <c r="F48" t="s">
        <v>958</v>
      </c>
    </row>
    <row r="49" spans="1:6" x14ac:dyDescent="0.3">
      <c r="A49">
        <v>48</v>
      </c>
      <c r="B49" t="s">
        <v>959</v>
      </c>
      <c r="C49" t="s">
        <v>866</v>
      </c>
      <c r="D49">
        <v>433</v>
      </c>
      <c r="E49" t="s">
        <v>829</v>
      </c>
      <c r="F49" t="s">
        <v>960</v>
      </c>
    </row>
    <row r="50" spans="1:6" x14ac:dyDescent="0.3">
      <c r="A50">
        <v>49</v>
      </c>
      <c r="B50" t="s">
        <v>961</v>
      </c>
      <c r="C50" t="s">
        <v>866</v>
      </c>
      <c r="D50">
        <v>903</v>
      </c>
      <c r="E50" t="s">
        <v>620</v>
      </c>
      <c r="F50" t="s">
        <v>962</v>
      </c>
    </row>
    <row r="51" spans="1:6" x14ac:dyDescent="0.3">
      <c r="A51">
        <v>50</v>
      </c>
      <c r="B51" t="s">
        <v>963</v>
      </c>
      <c r="C51" t="s">
        <v>863</v>
      </c>
      <c r="D51">
        <v>422</v>
      </c>
      <c r="E51" t="s">
        <v>701</v>
      </c>
      <c r="F51" t="s">
        <v>964</v>
      </c>
    </row>
    <row r="52" spans="1:6" x14ac:dyDescent="0.3">
      <c r="A52">
        <v>51</v>
      </c>
      <c r="B52" t="s">
        <v>965</v>
      </c>
      <c r="C52" t="s">
        <v>860</v>
      </c>
      <c r="D52">
        <v>1084</v>
      </c>
      <c r="E52" t="s">
        <v>699</v>
      </c>
      <c r="F52" t="s">
        <v>966</v>
      </c>
    </row>
    <row r="53" spans="1:6" x14ac:dyDescent="0.3">
      <c r="A53">
        <v>52</v>
      </c>
      <c r="B53" t="s">
        <v>967</v>
      </c>
      <c r="C53" t="s">
        <v>794</v>
      </c>
      <c r="D53">
        <v>236</v>
      </c>
      <c r="E53" t="s">
        <v>620</v>
      </c>
      <c r="F53" t="s">
        <v>968</v>
      </c>
    </row>
    <row r="54" spans="1:6" x14ac:dyDescent="0.3">
      <c r="A54">
        <v>53</v>
      </c>
      <c r="B54" t="s">
        <v>969</v>
      </c>
      <c r="C54" t="s">
        <v>869</v>
      </c>
      <c r="D54">
        <v>1672</v>
      </c>
      <c r="E54" t="s">
        <v>794</v>
      </c>
      <c r="F54" t="s">
        <v>970</v>
      </c>
    </row>
    <row r="55" spans="1:6" x14ac:dyDescent="0.3">
      <c r="A55">
        <v>54</v>
      </c>
      <c r="B55" t="s">
        <v>971</v>
      </c>
      <c r="C55" t="s">
        <v>874</v>
      </c>
      <c r="D55">
        <v>1236</v>
      </c>
      <c r="E55" t="s">
        <v>698</v>
      </c>
      <c r="F55" t="s">
        <v>972</v>
      </c>
    </row>
    <row r="56" spans="1:6" x14ac:dyDescent="0.3">
      <c r="A56">
        <v>55</v>
      </c>
      <c r="B56" t="s">
        <v>973</v>
      </c>
      <c r="C56" t="s">
        <v>860</v>
      </c>
      <c r="D56">
        <v>1904</v>
      </c>
      <c r="E56" t="s">
        <v>794</v>
      </c>
      <c r="F56" t="s">
        <v>974</v>
      </c>
    </row>
    <row r="57" spans="1:6" x14ac:dyDescent="0.3">
      <c r="A57">
        <v>56</v>
      </c>
      <c r="B57" t="s">
        <v>905</v>
      </c>
      <c r="C57" t="s">
        <v>794</v>
      </c>
      <c r="D57">
        <v>1272</v>
      </c>
      <c r="E57" t="s">
        <v>698</v>
      </c>
      <c r="F57" t="s">
        <v>975</v>
      </c>
    </row>
    <row r="58" spans="1:6" x14ac:dyDescent="0.3">
      <c r="A58">
        <v>57</v>
      </c>
      <c r="B58" t="s">
        <v>976</v>
      </c>
      <c r="C58" t="s">
        <v>866</v>
      </c>
      <c r="D58">
        <v>1582</v>
      </c>
      <c r="E58" t="s">
        <v>707</v>
      </c>
      <c r="F58" t="s">
        <v>977</v>
      </c>
    </row>
    <row r="59" spans="1:6" x14ac:dyDescent="0.3">
      <c r="A59">
        <v>58</v>
      </c>
      <c r="B59" t="s">
        <v>978</v>
      </c>
      <c r="C59" t="s">
        <v>874</v>
      </c>
      <c r="D59">
        <v>1492</v>
      </c>
      <c r="E59" t="s">
        <v>620</v>
      </c>
      <c r="F59" t="s">
        <v>979</v>
      </c>
    </row>
    <row r="60" spans="1:6" x14ac:dyDescent="0.3">
      <c r="A60">
        <v>59</v>
      </c>
      <c r="B60" t="s">
        <v>980</v>
      </c>
      <c r="C60" t="s">
        <v>874</v>
      </c>
      <c r="D60">
        <v>811</v>
      </c>
      <c r="E60" t="s">
        <v>794</v>
      </c>
      <c r="F60" t="s">
        <v>981</v>
      </c>
    </row>
    <row r="61" spans="1:6" x14ac:dyDescent="0.3">
      <c r="A61">
        <v>60</v>
      </c>
      <c r="B61" t="s">
        <v>982</v>
      </c>
      <c r="C61" t="s">
        <v>869</v>
      </c>
      <c r="D61">
        <v>827</v>
      </c>
      <c r="E61" t="s">
        <v>829</v>
      </c>
      <c r="F61" t="s">
        <v>983</v>
      </c>
    </row>
    <row r="62" spans="1:6" x14ac:dyDescent="0.3">
      <c r="A62">
        <v>61</v>
      </c>
      <c r="B62" t="s">
        <v>984</v>
      </c>
      <c r="C62" t="s">
        <v>863</v>
      </c>
      <c r="D62">
        <v>810</v>
      </c>
      <c r="E62" t="s">
        <v>698</v>
      </c>
      <c r="F62" t="s">
        <v>985</v>
      </c>
    </row>
    <row r="63" spans="1:6" x14ac:dyDescent="0.3">
      <c r="A63">
        <v>62</v>
      </c>
      <c r="B63" t="s">
        <v>986</v>
      </c>
      <c r="C63" t="s">
        <v>866</v>
      </c>
      <c r="D63">
        <v>1356</v>
      </c>
      <c r="E63" t="s">
        <v>701</v>
      </c>
      <c r="F63" t="s">
        <v>987</v>
      </c>
    </row>
    <row r="64" spans="1:6" x14ac:dyDescent="0.3">
      <c r="A64">
        <v>63</v>
      </c>
      <c r="B64" t="s">
        <v>988</v>
      </c>
      <c r="C64" t="s">
        <v>869</v>
      </c>
      <c r="D64">
        <v>1348</v>
      </c>
      <c r="E64" t="s">
        <v>699</v>
      </c>
      <c r="F64" t="s">
        <v>989</v>
      </c>
    </row>
    <row r="65" spans="1:6" x14ac:dyDescent="0.3">
      <c r="A65">
        <v>64</v>
      </c>
      <c r="B65" t="s">
        <v>990</v>
      </c>
      <c r="C65" t="s">
        <v>860</v>
      </c>
      <c r="D65">
        <v>1878</v>
      </c>
      <c r="E65" t="s">
        <v>794</v>
      </c>
      <c r="F65" t="s">
        <v>991</v>
      </c>
    </row>
    <row r="66" spans="1:6" x14ac:dyDescent="0.3">
      <c r="A66">
        <v>65</v>
      </c>
      <c r="B66" t="s">
        <v>992</v>
      </c>
      <c r="C66" t="s">
        <v>794</v>
      </c>
      <c r="D66">
        <v>1895</v>
      </c>
      <c r="E66" t="s">
        <v>699</v>
      </c>
      <c r="F66" t="s">
        <v>993</v>
      </c>
    </row>
    <row r="67" spans="1:6" x14ac:dyDescent="0.3">
      <c r="A67">
        <v>66</v>
      </c>
      <c r="B67" t="s">
        <v>994</v>
      </c>
      <c r="C67" t="s">
        <v>866</v>
      </c>
      <c r="D67">
        <v>610</v>
      </c>
      <c r="E67" t="s">
        <v>701</v>
      </c>
      <c r="F67" t="s">
        <v>995</v>
      </c>
    </row>
    <row r="68" spans="1:6" x14ac:dyDescent="0.3">
      <c r="A68">
        <v>67</v>
      </c>
      <c r="B68" t="s">
        <v>996</v>
      </c>
      <c r="C68" t="s">
        <v>794</v>
      </c>
      <c r="D68">
        <v>1374</v>
      </c>
      <c r="E68" t="s">
        <v>698</v>
      </c>
      <c r="F68" t="s">
        <v>997</v>
      </c>
    </row>
    <row r="69" spans="1:6" x14ac:dyDescent="0.3">
      <c r="A69">
        <v>68</v>
      </c>
      <c r="B69" t="s">
        <v>998</v>
      </c>
      <c r="C69" t="s">
        <v>860</v>
      </c>
      <c r="D69">
        <v>597</v>
      </c>
      <c r="E69" t="s">
        <v>620</v>
      </c>
      <c r="F69" t="s">
        <v>999</v>
      </c>
    </row>
    <row r="70" spans="1:6" x14ac:dyDescent="0.3">
      <c r="A70">
        <v>69</v>
      </c>
      <c r="B70" t="s">
        <v>1000</v>
      </c>
      <c r="C70" t="s">
        <v>874</v>
      </c>
      <c r="D70">
        <v>998</v>
      </c>
      <c r="E70" t="s">
        <v>701</v>
      </c>
      <c r="F70" t="s">
        <v>1001</v>
      </c>
    </row>
    <row r="71" spans="1:6" x14ac:dyDescent="0.3">
      <c r="A71">
        <v>70</v>
      </c>
      <c r="B71" t="s">
        <v>992</v>
      </c>
      <c r="C71" t="s">
        <v>869</v>
      </c>
      <c r="D71">
        <v>866</v>
      </c>
      <c r="E71" t="s">
        <v>707</v>
      </c>
      <c r="F71" t="s">
        <v>1002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8D50D-113B-4724-B4D5-69112C4F9815}">
  <dimension ref="A1:J53"/>
  <sheetViews>
    <sheetView zoomScale="107" workbookViewId="0">
      <selection activeCell="A6" sqref="A6:B6"/>
      <pivotSelection pane="bottomRight" showHeader="1" extendable="1" axis="axisRow" start="4" max="13" activeRow="5" previousRow="5" click="1" r:id="rId5">
        <pivotArea dataOnly="0" fieldPosition="0">
          <references count="1">
            <reference field="1" count="1">
              <x v="4"/>
            </reference>
          </references>
        </pivotArea>
      </pivotSelection>
    </sheetView>
  </sheetViews>
  <sheetFormatPr defaultRowHeight="14.4" x14ac:dyDescent="0.3"/>
  <cols>
    <col min="1" max="2" width="15.109375" bestFit="1" customWidth="1"/>
    <col min="4" max="4" width="14.6640625" bestFit="1" customWidth="1"/>
    <col min="5" max="5" width="17.109375" bestFit="1" customWidth="1"/>
    <col min="6" max="6" width="27.6640625" bestFit="1" customWidth="1"/>
    <col min="7" max="7" width="12.77734375" bestFit="1" customWidth="1"/>
    <col min="8" max="8" width="15.109375" bestFit="1" customWidth="1"/>
    <col min="10" max="10" width="17.88671875" bestFit="1" customWidth="1"/>
  </cols>
  <sheetData>
    <row r="1" spans="1:10" x14ac:dyDescent="0.3">
      <c r="A1" s="4" t="s">
        <v>1013</v>
      </c>
      <c r="B1" t="s">
        <v>1012</v>
      </c>
      <c r="D1" t="s">
        <v>1017</v>
      </c>
      <c r="H1">
        <f>CORREL(Orders!D:D,Orders!M:M)</f>
        <v>3.4781737193018245E-3</v>
      </c>
      <c r="J1" t="s">
        <v>1019</v>
      </c>
    </row>
    <row r="2" spans="1:10" x14ac:dyDescent="0.3">
      <c r="A2" s="5" t="s">
        <v>621</v>
      </c>
      <c r="B2" s="7">
        <v>704509</v>
      </c>
      <c r="D2" s="7">
        <v>3520.9839999999999</v>
      </c>
      <c r="J2" t="s">
        <v>1020</v>
      </c>
    </row>
    <row r="3" spans="1:10" x14ac:dyDescent="0.3">
      <c r="A3" s="5" t="s">
        <v>747</v>
      </c>
      <c r="B3" s="7">
        <v>511823</v>
      </c>
      <c r="J3" t="s">
        <v>1021</v>
      </c>
    </row>
    <row r="4" spans="1:10" x14ac:dyDescent="0.3">
      <c r="A4" s="5" t="s">
        <v>837</v>
      </c>
      <c r="B4" s="7">
        <v>140393</v>
      </c>
    </row>
    <row r="5" spans="1:10" x14ac:dyDescent="0.3">
      <c r="A5" s="5" t="s">
        <v>840</v>
      </c>
      <c r="B5" s="7">
        <v>150346</v>
      </c>
      <c r="D5" s="4" t="s">
        <v>1013</v>
      </c>
      <c r="E5" t="s">
        <v>1012</v>
      </c>
    </row>
    <row r="6" spans="1:10" x14ac:dyDescent="0.3">
      <c r="A6" s="5" t="s">
        <v>841</v>
      </c>
      <c r="B6" s="7">
        <v>157913</v>
      </c>
      <c r="D6" s="5" t="s">
        <v>891</v>
      </c>
      <c r="E6" s="7">
        <v>97665</v>
      </c>
    </row>
    <row r="7" spans="1:10" x14ac:dyDescent="0.3">
      <c r="A7" s="5" t="s">
        <v>839</v>
      </c>
      <c r="B7" s="7">
        <v>135826</v>
      </c>
      <c r="D7" s="5" t="s">
        <v>973</v>
      </c>
      <c r="E7" s="7">
        <v>106624</v>
      </c>
    </row>
    <row r="8" spans="1:10" x14ac:dyDescent="0.3">
      <c r="A8" s="5" t="s">
        <v>795</v>
      </c>
      <c r="B8" s="7">
        <v>737389</v>
      </c>
      <c r="D8" s="5" t="s">
        <v>957</v>
      </c>
      <c r="E8" s="7">
        <v>101556</v>
      </c>
    </row>
    <row r="9" spans="1:10" x14ac:dyDescent="0.3">
      <c r="A9" s="5" t="s">
        <v>843</v>
      </c>
      <c r="B9" s="7">
        <v>136938</v>
      </c>
      <c r="D9" s="5" t="s">
        <v>859</v>
      </c>
      <c r="E9" s="7">
        <v>121905</v>
      </c>
    </row>
    <row r="10" spans="1:10" x14ac:dyDescent="0.3">
      <c r="A10" s="5" t="s">
        <v>845</v>
      </c>
      <c r="B10" s="7">
        <v>151619</v>
      </c>
      <c r="D10" s="5" t="s">
        <v>905</v>
      </c>
      <c r="E10" s="7">
        <v>114476</v>
      </c>
    </row>
    <row r="11" spans="1:10" x14ac:dyDescent="0.3">
      <c r="A11" s="5" t="s">
        <v>822</v>
      </c>
      <c r="B11" s="7">
        <v>449169</v>
      </c>
      <c r="D11" s="5" t="s">
        <v>1014</v>
      </c>
      <c r="E11" s="7">
        <v>542226</v>
      </c>
    </row>
    <row r="12" spans="1:10" x14ac:dyDescent="0.3">
      <c r="A12" s="5" t="s">
        <v>836</v>
      </c>
      <c r="B12" s="7">
        <v>149591</v>
      </c>
    </row>
    <row r="13" spans="1:10" x14ac:dyDescent="0.3">
      <c r="A13" s="5" t="s">
        <v>1016</v>
      </c>
      <c r="B13" s="7">
        <v>95468</v>
      </c>
    </row>
    <row r="14" spans="1:10" x14ac:dyDescent="0.3">
      <c r="A14" s="5" t="s">
        <v>1014</v>
      </c>
      <c r="B14" s="7">
        <v>3520984</v>
      </c>
      <c r="D14" s="4" t="s">
        <v>1013</v>
      </c>
      <c r="E14" t="s">
        <v>1018</v>
      </c>
    </row>
    <row r="15" spans="1:10" x14ac:dyDescent="0.3">
      <c r="D15" s="5" t="s">
        <v>218</v>
      </c>
      <c r="E15">
        <v>18</v>
      </c>
    </row>
    <row r="16" spans="1:10" x14ac:dyDescent="0.3">
      <c r="D16" s="5" t="s">
        <v>152</v>
      </c>
      <c r="E16">
        <v>21</v>
      </c>
    </row>
    <row r="17" spans="1:5" x14ac:dyDescent="0.3">
      <c r="A17" s="4" t="s">
        <v>1013</v>
      </c>
      <c r="B17" t="s">
        <v>1012</v>
      </c>
      <c r="D17" s="5" t="s">
        <v>32</v>
      </c>
      <c r="E17">
        <v>18</v>
      </c>
    </row>
    <row r="18" spans="1:5" x14ac:dyDescent="0.3">
      <c r="A18" s="5" t="s">
        <v>874</v>
      </c>
      <c r="B18" s="7">
        <v>329862</v>
      </c>
      <c r="D18" s="5" t="s">
        <v>324</v>
      </c>
      <c r="E18">
        <v>28</v>
      </c>
    </row>
    <row r="19" spans="1:5" x14ac:dyDescent="0.3">
      <c r="A19" s="5" t="s">
        <v>866</v>
      </c>
      <c r="B19" s="7">
        <v>1005645</v>
      </c>
      <c r="D19" s="5" t="s">
        <v>230</v>
      </c>
      <c r="E19">
        <v>21</v>
      </c>
    </row>
    <row r="20" spans="1:5" x14ac:dyDescent="0.3">
      <c r="A20" s="5" t="s">
        <v>885</v>
      </c>
      <c r="B20" s="7">
        <v>201151</v>
      </c>
      <c r="D20" s="5" t="s">
        <v>301</v>
      </c>
      <c r="E20">
        <v>20</v>
      </c>
    </row>
    <row r="21" spans="1:5" x14ac:dyDescent="0.3">
      <c r="A21" s="5" t="s">
        <v>863</v>
      </c>
      <c r="B21" s="7">
        <v>212281</v>
      </c>
      <c r="D21" s="5" t="s">
        <v>188</v>
      </c>
      <c r="E21">
        <v>24</v>
      </c>
    </row>
    <row r="22" spans="1:5" x14ac:dyDescent="0.3">
      <c r="A22" s="5" t="s">
        <v>794</v>
      </c>
      <c r="B22" s="7">
        <v>297372</v>
      </c>
      <c r="D22" s="5" t="s">
        <v>307</v>
      </c>
      <c r="E22">
        <v>29</v>
      </c>
    </row>
    <row r="23" spans="1:5" x14ac:dyDescent="0.3">
      <c r="A23" s="5" t="s">
        <v>860</v>
      </c>
      <c r="B23" s="7">
        <v>740831</v>
      </c>
      <c r="D23" s="5" t="s">
        <v>158</v>
      </c>
      <c r="E23">
        <v>27</v>
      </c>
    </row>
    <row r="24" spans="1:5" x14ac:dyDescent="0.3">
      <c r="A24" s="5" t="s">
        <v>869</v>
      </c>
      <c r="B24" s="7">
        <v>733842</v>
      </c>
      <c r="D24" s="5" t="s">
        <v>397</v>
      </c>
      <c r="E24">
        <v>19</v>
      </c>
    </row>
    <row r="25" spans="1:5" x14ac:dyDescent="0.3">
      <c r="A25" s="5" t="s">
        <v>1014</v>
      </c>
      <c r="B25" s="7">
        <v>3520984</v>
      </c>
      <c r="D25" s="5" t="s">
        <v>1014</v>
      </c>
      <c r="E25">
        <v>225</v>
      </c>
    </row>
    <row r="28" spans="1:5" x14ac:dyDescent="0.3">
      <c r="A28" s="4" t="s">
        <v>1013</v>
      </c>
      <c r="B28" t="s">
        <v>1012</v>
      </c>
      <c r="D28" s="4" t="s">
        <v>1013</v>
      </c>
      <c r="E28" t="s">
        <v>1012</v>
      </c>
    </row>
    <row r="29" spans="1:5" x14ac:dyDescent="0.3">
      <c r="A29" s="5" t="s">
        <v>699</v>
      </c>
      <c r="B29" s="7">
        <v>586176</v>
      </c>
      <c r="D29" s="5">
        <v>0</v>
      </c>
      <c r="E29" s="7">
        <v>99400</v>
      </c>
    </row>
    <row r="30" spans="1:5" x14ac:dyDescent="0.3">
      <c r="A30" s="5" t="s">
        <v>698</v>
      </c>
      <c r="B30" s="7">
        <v>674634</v>
      </c>
      <c r="D30" s="5">
        <v>1</v>
      </c>
      <c r="E30" s="7">
        <v>129309</v>
      </c>
    </row>
    <row r="31" spans="1:5" x14ac:dyDescent="0.3">
      <c r="A31" s="5" t="s">
        <v>707</v>
      </c>
      <c r="B31" s="7">
        <v>408194</v>
      </c>
      <c r="D31" s="5">
        <v>2</v>
      </c>
      <c r="E31" s="7">
        <v>152940</v>
      </c>
    </row>
    <row r="32" spans="1:5" x14ac:dyDescent="0.3">
      <c r="A32" s="5" t="s">
        <v>829</v>
      </c>
      <c r="B32" s="7">
        <v>313783</v>
      </c>
      <c r="D32" s="5">
        <v>3</v>
      </c>
      <c r="E32" s="7">
        <v>146810</v>
      </c>
    </row>
    <row r="33" spans="1:5" x14ac:dyDescent="0.3">
      <c r="A33" s="5" t="s">
        <v>701</v>
      </c>
      <c r="B33" s="7">
        <v>574682</v>
      </c>
      <c r="D33" s="5">
        <v>4</v>
      </c>
      <c r="E33" s="7">
        <v>114700</v>
      </c>
    </row>
    <row r="34" spans="1:5" x14ac:dyDescent="0.3">
      <c r="A34" s="5" t="s">
        <v>794</v>
      </c>
      <c r="B34" s="7">
        <v>631585</v>
      </c>
      <c r="D34" s="5">
        <v>5</v>
      </c>
      <c r="E34" s="7">
        <v>156198</v>
      </c>
    </row>
    <row r="35" spans="1:5" x14ac:dyDescent="0.3">
      <c r="A35" s="5" t="s">
        <v>620</v>
      </c>
      <c r="B35" s="7">
        <v>331930</v>
      </c>
      <c r="D35" s="5">
        <v>6</v>
      </c>
      <c r="E35" s="7">
        <v>177211</v>
      </c>
    </row>
    <row r="36" spans="1:5" x14ac:dyDescent="0.3">
      <c r="A36" s="5" t="s">
        <v>1014</v>
      </c>
      <c r="B36" s="7">
        <v>3520984</v>
      </c>
      <c r="D36" s="5">
        <v>7</v>
      </c>
      <c r="E36" s="7">
        <v>147749</v>
      </c>
    </row>
    <row r="37" spans="1:5" x14ac:dyDescent="0.3">
      <c r="D37" s="5">
        <v>8</v>
      </c>
      <c r="E37" s="7">
        <v>133617</v>
      </c>
    </row>
    <row r="38" spans="1:5" x14ac:dyDescent="0.3">
      <c r="D38" s="5">
        <v>9</v>
      </c>
      <c r="E38" s="7">
        <v>153678</v>
      </c>
    </row>
    <row r="39" spans="1:5" x14ac:dyDescent="0.3">
      <c r="A39" t="s">
        <v>1018</v>
      </c>
      <c r="D39" s="5">
        <v>10</v>
      </c>
      <c r="E39" s="7">
        <v>94985</v>
      </c>
    </row>
    <row r="40" spans="1:5" x14ac:dyDescent="0.3">
      <c r="A40">
        <v>1000</v>
      </c>
      <c r="D40" s="5">
        <v>11</v>
      </c>
      <c r="E40" s="7">
        <v>130287</v>
      </c>
    </row>
    <row r="41" spans="1:5" x14ac:dyDescent="0.3">
      <c r="D41" s="5">
        <v>12</v>
      </c>
      <c r="E41" s="7">
        <v>162394</v>
      </c>
    </row>
    <row r="42" spans="1:5" x14ac:dyDescent="0.3">
      <c r="A42" t="s">
        <v>1012</v>
      </c>
      <c r="D42" s="5">
        <v>13</v>
      </c>
      <c r="E42" s="7">
        <v>152340</v>
      </c>
    </row>
    <row r="43" spans="1:5" x14ac:dyDescent="0.3">
      <c r="A43" s="7">
        <v>3520984</v>
      </c>
      <c r="D43" s="5">
        <v>14</v>
      </c>
      <c r="E43" s="7">
        <v>126406</v>
      </c>
    </row>
    <row r="44" spans="1:5" x14ac:dyDescent="0.3">
      <c r="D44" s="5">
        <v>15</v>
      </c>
      <c r="E44" s="7">
        <v>163586</v>
      </c>
    </row>
    <row r="45" spans="1:5" x14ac:dyDescent="0.3">
      <c r="A45" t="s">
        <v>1015</v>
      </c>
      <c r="D45" s="5">
        <v>16</v>
      </c>
      <c r="E45" s="7">
        <v>128797</v>
      </c>
    </row>
    <row r="46" spans="1:5" x14ac:dyDescent="0.3">
      <c r="A46">
        <v>5.53</v>
      </c>
      <c r="D46" s="5">
        <v>17</v>
      </c>
      <c r="E46" s="7">
        <v>155373</v>
      </c>
    </row>
    <row r="47" spans="1:5" x14ac:dyDescent="0.3">
      <c r="D47" s="5">
        <v>18</v>
      </c>
      <c r="E47" s="7">
        <v>173118</v>
      </c>
    </row>
    <row r="48" spans="1:5" x14ac:dyDescent="0.3">
      <c r="A48" t="s">
        <v>1022</v>
      </c>
      <c r="D48" s="5">
        <v>19</v>
      </c>
      <c r="E48" s="7">
        <v>185771</v>
      </c>
    </row>
    <row r="49" spans="1:5" x14ac:dyDescent="0.3">
      <c r="A49" s="7">
        <v>3520.9839999999999</v>
      </c>
      <c r="D49" s="5">
        <v>20</v>
      </c>
      <c r="E49" s="7">
        <v>186426</v>
      </c>
    </row>
    <row r="50" spans="1:5" x14ac:dyDescent="0.3">
      <c r="D50" s="5">
        <v>21</v>
      </c>
      <c r="E50" s="7">
        <v>155466</v>
      </c>
    </row>
    <row r="51" spans="1:5" x14ac:dyDescent="0.3">
      <c r="D51" s="5">
        <v>22</v>
      </c>
      <c r="E51" s="7">
        <v>125912</v>
      </c>
    </row>
    <row r="52" spans="1:5" x14ac:dyDescent="0.3">
      <c r="D52" s="5">
        <v>23</v>
      </c>
      <c r="E52" s="7">
        <v>168511</v>
      </c>
    </row>
    <row r="53" spans="1:5" x14ac:dyDescent="0.3">
      <c r="D53" s="5" t="s">
        <v>1014</v>
      </c>
      <c r="E53" s="7">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8A241-0ADE-4861-94C6-1E68001889D0}">
  <dimension ref="A1"/>
  <sheetViews>
    <sheetView tabSelected="1" zoomScale="101" zoomScaleNormal="101" workbookViewId="0">
      <selection activeCell="I37" sqref="I37"/>
    </sheetView>
  </sheetViews>
  <sheetFormatPr defaultRowHeight="14.4" x14ac:dyDescent="0.3"/>
  <cols>
    <col min="1" max="16384" width="8.88671875" style="6"/>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B5CC550F-5863-4E75-9BB0-F414C3907165}">
  <ds:schemaRefs/>
</ds:datastoreItem>
</file>

<file path=customXml/itemProps2.xml><?xml version="1.0" encoding="utf-8"?>
<ds:datastoreItem xmlns:ds="http://schemas.openxmlformats.org/officeDocument/2006/customXml" ds:itemID="{EFEB4221-75F6-433E-8893-AA217864150A}">
  <ds:schemaRefs/>
</ds:datastoreItem>
</file>

<file path=customXml/itemProps3.xml><?xml version="1.0" encoding="utf-8"?>
<ds:datastoreItem xmlns:ds="http://schemas.openxmlformats.org/officeDocument/2006/customXml" ds:itemID="{D47AB7A4-6010-4306-8226-A9F7A4E8088A}">
  <ds:schemaRefs/>
</ds:datastoreItem>
</file>

<file path=customXml/itemProps4.xml><?xml version="1.0" encoding="utf-8"?>
<ds:datastoreItem xmlns:ds="http://schemas.openxmlformats.org/officeDocument/2006/customXml" ds:itemID="{AAC800AC-2B0A-4D84-9ACE-C480394B5EA8}">
  <ds:schemaRefs/>
</ds:datastoreItem>
</file>

<file path=customXml/itemProps5.xml><?xml version="1.0" encoding="utf-8"?>
<ds:datastoreItem xmlns:ds="http://schemas.openxmlformats.org/officeDocument/2006/customXml" ds:itemID="{F279A0C0-0652-4BA4-BF4F-548DC5AE5EC3}">
  <ds:schemaRefs/>
</ds:datastoreItem>
</file>

<file path=customXml/itemProps6.xml><?xml version="1.0" encoding="utf-8"?>
<ds:datastoreItem xmlns:ds="http://schemas.openxmlformats.org/officeDocument/2006/customXml" ds:itemID="{150C6A84-C2C3-455F-B498-42E1DC153C1A}">
  <ds:schemaRefs/>
</ds:datastoreItem>
</file>

<file path=customXml/itemProps7.xml><?xml version="1.0" encoding="utf-8"?>
<ds:datastoreItem xmlns:ds="http://schemas.openxmlformats.org/officeDocument/2006/customXml" ds:itemID="{ADC3D09F-9B4D-436D-AF5A-2EAD4C39E80F}">
  <ds:schemaRefs/>
</ds:datastoreItem>
</file>

<file path=customXml/itemProps8.xml><?xml version="1.0" encoding="utf-8"?>
<ds:datastoreItem xmlns:ds="http://schemas.openxmlformats.org/officeDocument/2006/customXml" ds:itemID="{8244E540-F825-414B-A1F0-4737DBEA9A09}">
  <ds:schemaRefs/>
</ds:datastoreItem>
</file>

<file path=customXml/itemProps9.xml><?xml version="1.0" encoding="utf-8"?>
<ds:datastoreItem xmlns:ds="http://schemas.openxmlformats.org/officeDocument/2006/customXml" ds:itemID="{C9BC7586-B828-45BF-95BE-5C65E7C2E3EA}">
  <ds:schemaRefs>
    <ds:schemaRef ds:uri="http://schemas.microsoft.com/DataMashup"/>
  </ds:schemaRefs>
</ds:datastoreItem>
</file>

<file path=customXml/itemProps10.xml><?xml version="1.0" encoding="utf-8"?>
<ds:datastoreItem xmlns:ds="http://schemas.openxmlformats.org/officeDocument/2006/customXml" ds:itemID="{FEFA0C99-9DF4-446C-AB72-9C92E57458F2}">
  <ds:schemaRefs/>
</ds:datastoreItem>
</file>

<file path=customXml/itemProps11.xml><?xml version="1.0" encoding="utf-8"?>
<ds:datastoreItem xmlns:ds="http://schemas.openxmlformats.org/officeDocument/2006/customXml" ds:itemID="{B7DED521-512D-4517-804D-8FB370B0A7F6}">
  <ds:schemaRefs/>
</ds:datastoreItem>
</file>

<file path=customXml/itemProps12.xml><?xml version="1.0" encoding="utf-8"?>
<ds:datastoreItem xmlns:ds="http://schemas.openxmlformats.org/officeDocument/2006/customXml" ds:itemID="{E56C12D5-B49D-47DE-BF5C-F9BA97A3DFFB}">
  <ds:schemaRefs/>
</ds:datastoreItem>
</file>

<file path=customXml/itemProps13.xml><?xml version="1.0" encoding="utf-8"?>
<ds:datastoreItem xmlns:ds="http://schemas.openxmlformats.org/officeDocument/2006/customXml" ds:itemID="{8AD1E871-0113-4C0E-9E48-C91C8787A79B}">
  <ds:schemaRefs/>
</ds:datastoreItem>
</file>

<file path=customXml/itemProps14.xml><?xml version="1.0" encoding="utf-8"?>
<ds:datastoreItem xmlns:ds="http://schemas.openxmlformats.org/officeDocument/2006/customXml" ds:itemID="{36898BFD-66E4-420B-87B5-E1B2C0FCCD75}">
  <ds:schemaRefs/>
</ds:datastoreItem>
</file>

<file path=customXml/itemProps15.xml><?xml version="1.0" encoding="utf-8"?>
<ds:datastoreItem xmlns:ds="http://schemas.openxmlformats.org/officeDocument/2006/customXml" ds:itemID="{5101B752-CD44-4AC3-BE6D-E90AF795DB38}">
  <ds:schemaRefs/>
</ds:datastoreItem>
</file>

<file path=customXml/itemProps16.xml><?xml version="1.0" encoding="utf-8"?>
<ds:datastoreItem xmlns:ds="http://schemas.openxmlformats.org/officeDocument/2006/customXml" ds:itemID="{3D9AD3B4-D168-4692-8E4F-9F3B75CB5510}">
  <ds:schemaRefs/>
</ds:datastoreItem>
</file>

<file path=customXml/itemProps17.xml><?xml version="1.0" encoding="utf-8"?>
<ds:datastoreItem xmlns:ds="http://schemas.openxmlformats.org/officeDocument/2006/customXml" ds:itemID="{4364BD77-079E-430F-BB19-7743F91AD90D}">
  <ds:schemaRefs/>
</ds:datastoreItem>
</file>

<file path=customXml/itemProps18.xml><?xml version="1.0" encoding="utf-8"?>
<ds:datastoreItem xmlns:ds="http://schemas.openxmlformats.org/officeDocument/2006/customXml" ds:itemID="{52BAC31A-86EE-43D1-B621-585D8FF28258}">
  <ds:schemaRefs/>
</ds:datastoreItem>
</file>

<file path=customXml/itemProps19.xml><?xml version="1.0" encoding="utf-8"?>
<ds:datastoreItem xmlns:ds="http://schemas.openxmlformats.org/officeDocument/2006/customXml" ds:itemID="{C1341544-0967-415F-B109-502EA3089BB0}">
  <ds:schemaRefs/>
</ds:datastoreItem>
</file>

<file path=customXml/itemProps20.xml><?xml version="1.0" encoding="utf-8"?>
<ds:datastoreItem xmlns:ds="http://schemas.openxmlformats.org/officeDocument/2006/customXml" ds:itemID="{5934DFC8-F407-4C6F-8715-44F93E9353D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Datasets</vt:lpstr>
      <vt:lpstr>Customer</vt:lpstr>
      <vt:lpstr>Orders</vt:lpstr>
      <vt:lpstr>Products</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Gagan Singh</dc:creator>
  <cp:lastModifiedBy>Gagan Singh</cp:lastModifiedBy>
  <dcterms:created xsi:type="dcterms:W3CDTF">2026-02-08T12:19:06Z</dcterms:created>
  <dcterms:modified xsi:type="dcterms:W3CDTF">2026-02-08T18:52:42Z</dcterms:modified>
</cp:coreProperties>
</file>